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dre.FINQUIMICACRZ\Documents\Arduino\ePAC_v2\"/>
    </mc:Choice>
  </mc:AlternateContent>
  <xr:revisionPtr revIDLastSave="0" documentId="8_{9B1F9C26-5E10-4966-9ABF-90628462BDB4}" xr6:coauthVersionLast="47" xr6:coauthVersionMax="47" xr10:uidLastSave="{00000000-0000-0000-0000-000000000000}"/>
  <bookViews>
    <workbookView xWindow="15060" yWindow="1875" windowWidth="12675" windowHeight="11385" xr2:uid="{7C76439B-C2FF-41C8-883C-17647D826A98}"/>
  </bookViews>
  <sheets>
    <sheet name="Planilh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H62" i="1" l="1"/>
  <c r="AM62" i="1"/>
  <c r="AN62" i="1"/>
  <c r="AO62" i="1"/>
  <c r="AP62" i="1"/>
  <c r="AQ62" i="1"/>
  <c r="AR62" i="1"/>
  <c r="AS62" i="1"/>
  <c r="AT62" i="1"/>
  <c r="AU62" i="1"/>
  <c r="AV62" i="1"/>
  <c r="AW62" i="1"/>
  <c r="AX62" i="1"/>
  <c r="AY62" i="1"/>
  <c r="AZ62" i="1"/>
  <c r="BA62" i="1"/>
  <c r="BB62" i="1"/>
  <c r="AM63" i="1"/>
  <c r="AN63" i="1"/>
  <c r="AO63" i="1"/>
  <c r="AP63" i="1"/>
  <c r="AQ63" i="1"/>
  <c r="AR63" i="1"/>
  <c r="AS63" i="1"/>
  <c r="AT63" i="1"/>
  <c r="AU63" i="1"/>
  <c r="AV63" i="1"/>
  <c r="AW63" i="1"/>
  <c r="AX63" i="1"/>
  <c r="AY63" i="1"/>
  <c r="AZ63" i="1"/>
  <c r="BA63" i="1"/>
  <c r="BB63" i="1"/>
  <c r="AH65" i="1"/>
  <c r="AM65" i="1"/>
  <c r="AN65" i="1"/>
  <c r="AO65" i="1"/>
  <c r="AP65" i="1"/>
  <c r="AQ65" i="1"/>
  <c r="AR65" i="1"/>
  <c r="AS65" i="1"/>
  <c r="AT65" i="1"/>
  <c r="AU65" i="1"/>
  <c r="AV65" i="1"/>
  <c r="AW65" i="1"/>
  <c r="AX65" i="1"/>
  <c r="AY65" i="1"/>
  <c r="AZ65" i="1"/>
  <c r="BA65" i="1"/>
  <c r="BB65" i="1"/>
  <c r="AM66" i="1"/>
  <c r="AN66" i="1"/>
  <c r="AO66" i="1"/>
  <c r="AP66" i="1"/>
  <c r="AQ66" i="1"/>
  <c r="AR66" i="1"/>
  <c r="AS66" i="1"/>
  <c r="AT66" i="1"/>
  <c r="AU66" i="1"/>
  <c r="AV66" i="1"/>
  <c r="AW66" i="1"/>
  <c r="AX66" i="1"/>
  <c r="AY66" i="1"/>
  <c r="AZ66" i="1"/>
  <c r="BA66" i="1"/>
  <c r="BB66" i="1"/>
  <c r="AH68" i="1"/>
  <c r="AM68" i="1"/>
  <c r="AN68" i="1"/>
  <c r="AO68" i="1"/>
  <c r="AP68" i="1"/>
  <c r="AQ68" i="1"/>
  <c r="AR68" i="1"/>
  <c r="AS68" i="1"/>
  <c r="AT68" i="1"/>
  <c r="AU68" i="1"/>
  <c r="AV68" i="1"/>
  <c r="AW68" i="1"/>
  <c r="AX68" i="1"/>
  <c r="AY68" i="1"/>
  <c r="AZ68" i="1"/>
  <c r="BA68" i="1"/>
  <c r="BB68" i="1"/>
  <c r="AM69" i="1"/>
  <c r="AN69" i="1"/>
  <c r="AO69" i="1"/>
  <c r="AP69" i="1"/>
  <c r="AQ69" i="1"/>
  <c r="AR69" i="1"/>
  <c r="AS69" i="1"/>
  <c r="AT69" i="1"/>
  <c r="AU69" i="1"/>
  <c r="AV69" i="1"/>
  <c r="AW69" i="1"/>
  <c r="AX69" i="1"/>
  <c r="AY69" i="1"/>
  <c r="AZ69" i="1"/>
  <c r="BA69" i="1"/>
  <c r="BB69" i="1"/>
  <c r="AH71" i="1"/>
  <c r="AM71" i="1"/>
  <c r="AN71" i="1"/>
  <c r="AO71" i="1"/>
  <c r="AP71" i="1"/>
  <c r="AQ71" i="1"/>
  <c r="AR71" i="1"/>
  <c r="AS71" i="1"/>
  <c r="AT71" i="1"/>
  <c r="AU71" i="1"/>
  <c r="AV71" i="1"/>
  <c r="AW71" i="1"/>
  <c r="AX71" i="1"/>
  <c r="AY71" i="1"/>
  <c r="AZ71" i="1"/>
  <c r="BA71" i="1"/>
  <c r="BB71" i="1"/>
  <c r="AM72" i="1"/>
  <c r="AN72" i="1"/>
  <c r="AO72" i="1"/>
  <c r="AP72" i="1"/>
  <c r="AQ72" i="1"/>
  <c r="AR72" i="1"/>
  <c r="AS72" i="1"/>
  <c r="AT72" i="1"/>
  <c r="AU72" i="1"/>
  <c r="AV72" i="1"/>
  <c r="AW72" i="1"/>
  <c r="AX72" i="1"/>
  <c r="AY72" i="1"/>
  <c r="AZ72" i="1"/>
  <c r="BA72" i="1"/>
  <c r="BB72" i="1"/>
  <c r="AH74" i="1"/>
  <c r="AM74" i="1"/>
  <c r="AN74" i="1"/>
  <c r="AO74" i="1"/>
  <c r="AP74" i="1"/>
  <c r="AQ74" i="1"/>
  <c r="AR74" i="1"/>
  <c r="AS74" i="1"/>
  <c r="AT74" i="1"/>
  <c r="AU74" i="1"/>
  <c r="AV74" i="1"/>
  <c r="AW74" i="1"/>
  <c r="AX74" i="1"/>
  <c r="AY74" i="1"/>
  <c r="AZ74" i="1"/>
  <c r="BA74" i="1"/>
  <c r="BB74" i="1"/>
  <c r="AM75" i="1"/>
  <c r="AN75" i="1"/>
  <c r="AO75" i="1"/>
  <c r="AP75" i="1"/>
  <c r="AQ75" i="1"/>
  <c r="AR75" i="1"/>
  <c r="AS75" i="1"/>
  <c r="AT75" i="1"/>
  <c r="AU75" i="1"/>
  <c r="AV75" i="1"/>
  <c r="AW75" i="1"/>
  <c r="AX75" i="1"/>
  <c r="AY75" i="1"/>
  <c r="AZ75" i="1"/>
  <c r="BA75" i="1"/>
  <c r="BB75" i="1"/>
  <c r="AH77" i="1"/>
  <c r="AM77" i="1"/>
  <c r="AN77" i="1"/>
  <c r="AO77" i="1"/>
  <c r="AP77" i="1"/>
  <c r="AQ77" i="1"/>
  <c r="AR77" i="1"/>
  <c r="AS77" i="1"/>
  <c r="AT77" i="1"/>
  <c r="AU77" i="1"/>
  <c r="AV77" i="1"/>
  <c r="AW77" i="1"/>
  <c r="AX77" i="1"/>
  <c r="AY77" i="1"/>
  <c r="AZ77" i="1"/>
  <c r="BA77" i="1"/>
  <c r="BB77" i="1"/>
  <c r="AM78" i="1"/>
  <c r="AN78" i="1"/>
  <c r="AO78" i="1"/>
  <c r="AP78" i="1"/>
  <c r="AQ78" i="1"/>
  <c r="AR78" i="1"/>
  <c r="AS78" i="1"/>
  <c r="AT78" i="1"/>
  <c r="AU78" i="1"/>
  <c r="AV78" i="1"/>
  <c r="AW78" i="1"/>
  <c r="AX78" i="1"/>
  <c r="AY78" i="1"/>
  <c r="AZ78" i="1"/>
  <c r="BA78" i="1"/>
  <c r="BB78" i="1"/>
  <c r="AH80" i="1"/>
  <c r="AM80" i="1"/>
  <c r="AN80" i="1"/>
  <c r="AO80" i="1"/>
  <c r="AP80" i="1"/>
  <c r="AQ80" i="1"/>
  <c r="AR80" i="1"/>
  <c r="AS80" i="1"/>
  <c r="AT80" i="1"/>
  <c r="AU80" i="1"/>
  <c r="AV80" i="1"/>
  <c r="AW80" i="1"/>
  <c r="AX80" i="1"/>
  <c r="AY80" i="1"/>
  <c r="AZ80" i="1"/>
  <c r="BA80" i="1"/>
  <c r="BB80" i="1"/>
  <c r="AM81" i="1"/>
  <c r="AN81" i="1"/>
  <c r="AO81" i="1"/>
  <c r="AP81" i="1"/>
  <c r="AQ81" i="1"/>
  <c r="AR81" i="1"/>
  <c r="AS81" i="1"/>
  <c r="AT81" i="1"/>
  <c r="AU81" i="1"/>
  <c r="AV81" i="1"/>
  <c r="AW81" i="1"/>
  <c r="AX81" i="1"/>
  <c r="AY81" i="1"/>
  <c r="AZ81" i="1"/>
  <c r="BA81" i="1"/>
  <c r="BB81" i="1"/>
  <c r="AH83" i="1"/>
  <c r="AM83" i="1"/>
  <c r="AN83" i="1"/>
  <c r="AO83" i="1"/>
  <c r="AP83" i="1"/>
  <c r="AQ83" i="1"/>
  <c r="AR83" i="1"/>
  <c r="AS83" i="1"/>
  <c r="AT83" i="1"/>
  <c r="AU83" i="1"/>
  <c r="AV83" i="1"/>
  <c r="AW83" i="1"/>
  <c r="AX83" i="1"/>
  <c r="AY83" i="1"/>
  <c r="AZ83" i="1"/>
  <c r="BA83" i="1"/>
  <c r="BB83" i="1"/>
  <c r="AM84" i="1"/>
  <c r="AN84" i="1"/>
  <c r="AO84" i="1"/>
  <c r="AP84" i="1"/>
  <c r="AQ84" i="1"/>
  <c r="AR84" i="1"/>
  <c r="AS84" i="1"/>
  <c r="AT84" i="1"/>
  <c r="AU84" i="1"/>
  <c r="AV84" i="1"/>
  <c r="AW84" i="1"/>
  <c r="AX84" i="1"/>
  <c r="AY84" i="1"/>
  <c r="AZ84" i="1"/>
  <c r="BA84" i="1"/>
  <c r="BB84" i="1"/>
  <c r="AH86" i="1"/>
  <c r="AM86" i="1"/>
  <c r="AN86" i="1"/>
  <c r="AO86" i="1"/>
  <c r="AP86" i="1"/>
  <c r="AQ86" i="1"/>
  <c r="AR86" i="1"/>
  <c r="AS86" i="1"/>
  <c r="AT86" i="1"/>
  <c r="AU86" i="1"/>
  <c r="AV86" i="1"/>
  <c r="AW86" i="1"/>
  <c r="AX86" i="1"/>
  <c r="AY86" i="1"/>
  <c r="AZ86" i="1"/>
  <c r="BA86" i="1"/>
  <c r="BB86" i="1"/>
  <c r="AM87" i="1"/>
  <c r="AN87" i="1"/>
  <c r="AO87" i="1"/>
  <c r="AP87" i="1"/>
  <c r="AQ87" i="1"/>
  <c r="AR87" i="1"/>
  <c r="AS87" i="1"/>
  <c r="AT87" i="1"/>
  <c r="AU87" i="1"/>
  <c r="AV87" i="1"/>
  <c r="AW87" i="1"/>
  <c r="AX87" i="1"/>
  <c r="AY87" i="1"/>
  <c r="AZ87" i="1"/>
  <c r="BA87" i="1"/>
  <c r="BB87" i="1"/>
  <c r="AH89" i="1"/>
  <c r="AM89" i="1"/>
  <c r="AN89" i="1"/>
  <c r="AO89" i="1"/>
  <c r="AP89" i="1"/>
  <c r="AQ89" i="1"/>
  <c r="AR89" i="1"/>
  <c r="AS89" i="1"/>
  <c r="AT89" i="1"/>
  <c r="AU89" i="1"/>
  <c r="AV89" i="1"/>
  <c r="AW89" i="1"/>
  <c r="AX89" i="1"/>
  <c r="AY89" i="1"/>
  <c r="AZ89" i="1"/>
  <c r="BA89" i="1"/>
  <c r="BB89" i="1"/>
  <c r="AM90" i="1"/>
  <c r="AN90" i="1"/>
  <c r="AO90" i="1"/>
  <c r="AP90" i="1"/>
  <c r="AQ90" i="1"/>
  <c r="AR90" i="1"/>
  <c r="AS90" i="1"/>
  <c r="AT90" i="1"/>
  <c r="AU90" i="1"/>
  <c r="AV90" i="1"/>
  <c r="AW90" i="1"/>
  <c r="AX90" i="1"/>
  <c r="AY90" i="1"/>
  <c r="AZ90" i="1"/>
  <c r="BA90" i="1"/>
  <c r="BB90" i="1"/>
  <c r="AH92" i="1"/>
  <c r="AM92" i="1"/>
  <c r="AN92" i="1"/>
  <c r="AO92" i="1"/>
  <c r="AP92" i="1"/>
  <c r="AQ92" i="1"/>
  <c r="AR92" i="1"/>
  <c r="AS92" i="1"/>
  <c r="AT92" i="1"/>
  <c r="AU92" i="1"/>
  <c r="AV92" i="1"/>
  <c r="AW92" i="1"/>
  <c r="AX92" i="1"/>
  <c r="AY92" i="1"/>
  <c r="AZ92" i="1"/>
  <c r="BA92" i="1"/>
  <c r="BB92" i="1"/>
  <c r="AM93" i="1"/>
  <c r="AN93" i="1"/>
  <c r="AO93" i="1"/>
  <c r="AP93" i="1"/>
  <c r="AQ93" i="1"/>
  <c r="AR93" i="1"/>
  <c r="AS93" i="1"/>
  <c r="AT93" i="1"/>
  <c r="AU93" i="1"/>
  <c r="AV93" i="1"/>
  <c r="AW93" i="1"/>
  <c r="AX93" i="1"/>
  <c r="AY93" i="1"/>
  <c r="AZ93" i="1"/>
  <c r="BA93" i="1"/>
  <c r="BB93" i="1"/>
  <c r="AH95" i="1"/>
  <c r="AM95" i="1"/>
  <c r="AN95" i="1"/>
  <c r="AO95" i="1"/>
  <c r="AP95" i="1"/>
  <c r="AQ95" i="1"/>
  <c r="AR95" i="1"/>
  <c r="AS95" i="1"/>
  <c r="AT95" i="1"/>
  <c r="AU95" i="1"/>
  <c r="AV95" i="1"/>
  <c r="AW95" i="1"/>
  <c r="AX95" i="1"/>
  <c r="AY95" i="1"/>
  <c r="AZ95" i="1"/>
  <c r="BA95" i="1"/>
  <c r="BB95" i="1"/>
  <c r="AM96" i="1"/>
  <c r="AN96" i="1"/>
  <c r="AO96" i="1"/>
  <c r="AP96" i="1"/>
  <c r="AQ96" i="1"/>
  <c r="AR96" i="1"/>
  <c r="AS96" i="1"/>
  <c r="AT96" i="1"/>
  <c r="AU96" i="1"/>
  <c r="AV96" i="1"/>
  <c r="AW96" i="1"/>
  <c r="AX96" i="1"/>
  <c r="AY96" i="1"/>
  <c r="AZ96" i="1"/>
  <c r="BA96" i="1"/>
  <c r="BB96" i="1"/>
  <c r="AH98" i="1"/>
  <c r="AM98" i="1"/>
  <c r="AN98" i="1"/>
  <c r="AO98" i="1"/>
  <c r="AP98" i="1"/>
  <c r="AQ98" i="1"/>
  <c r="AR98" i="1"/>
  <c r="AS98" i="1"/>
  <c r="AT98" i="1"/>
  <c r="AU98" i="1"/>
  <c r="AV98" i="1"/>
  <c r="AW98" i="1"/>
  <c r="AX98" i="1"/>
  <c r="AY98" i="1"/>
  <c r="AZ98" i="1"/>
  <c r="BA98" i="1"/>
  <c r="BB98" i="1"/>
  <c r="AM99" i="1"/>
  <c r="AN99" i="1"/>
  <c r="AO99" i="1"/>
  <c r="AP99" i="1"/>
  <c r="AQ99" i="1"/>
  <c r="AR99" i="1"/>
  <c r="AS99" i="1"/>
  <c r="AT99" i="1"/>
  <c r="AU99" i="1"/>
  <c r="AV99" i="1"/>
  <c r="AW99" i="1"/>
  <c r="AX99" i="1"/>
  <c r="AY99" i="1"/>
  <c r="AZ99" i="1"/>
  <c r="BA99" i="1"/>
  <c r="BB99" i="1"/>
  <c r="AH101" i="1"/>
  <c r="AM101" i="1"/>
  <c r="AN101" i="1"/>
  <c r="AO101" i="1"/>
  <c r="AP101" i="1"/>
  <c r="AQ101" i="1"/>
  <c r="AR101" i="1"/>
  <c r="AS101" i="1"/>
  <c r="AT101" i="1"/>
  <c r="AU101" i="1"/>
  <c r="AV101" i="1"/>
  <c r="AW101" i="1"/>
  <c r="AX101" i="1"/>
  <c r="AY101" i="1"/>
  <c r="AZ101" i="1"/>
  <c r="BA101" i="1"/>
  <c r="BB101" i="1"/>
  <c r="AM102" i="1"/>
  <c r="AN102" i="1"/>
  <c r="AO102" i="1"/>
  <c r="AP102" i="1"/>
  <c r="AQ102" i="1"/>
  <c r="AR102" i="1"/>
  <c r="AS102" i="1"/>
  <c r="AT102" i="1"/>
  <c r="AU102" i="1"/>
  <c r="AV102" i="1"/>
  <c r="AW102" i="1"/>
  <c r="AX102" i="1"/>
  <c r="AY102" i="1"/>
  <c r="AZ102" i="1"/>
  <c r="BA102" i="1"/>
  <c r="BB102" i="1"/>
  <c r="AH104" i="1"/>
  <c r="AM104" i="1"/>
  <c r="AN104" i="1"/>
  <c r="AO104" i="1"/>
  <c r="AP104" i="1"/>
  <c r="AQ104" i="1"/>
  <c r="AR104" i="1"/>
  <c r="AS104" i="1"/>
  <c r="AT104" i="1"/>
  <c r="AU104" i="1"/>
  <c r="AV104" i="1"/>
  <c r="AW104" i="1"/>
  <c r="AX104" i="1"/>
  <c r="AY104" i="1"/>
  <c r="AZ104" i="1"/>
  <c r="BA104" i="1"/>
  <c r="BB104" i="1"/>
  <c r="AM105" i="1"/>
  <c r="AN105" i="1"/>
  <c r="AO105" i="1"/>
  <c r="AP105" i="1"/>
  <c r="AQ105" i="1"/>
  <c r="AR105" i="1"/>
  <c r="AS105" i="1"/>
  <c r="AT105" i="1"/>
  <c r="AU105" i="1"/>
  <c r="AV105" i="1"/>
  <c r="AW105" i="1"/>
  <c r="AX105" i="1"/>
  <c r="AY105" i="1"/>
  <c r="AZ105" i="1"/>
  <c r="BA105" i="1"/>
  <c r="BB105" i="1"/>
  <c r="AH107" i="1"/>
  <c r="AM107" i="1"/>
  <c r="AN107" i="1"/>
  <c r="AO107" i="1"/>
  <c r="AP107" i="1"/>
  <c r="AQ107" i="1"/>
  <c r="AR107" i="1"/>
  <c r="AS107" i="1"/>
  <c r="AT107" i="1"/>
  <c r="AU107" i="1"/>
  <c r="AV107" i="1"/>
  <c r="AW107" i="1"/>
  <c r="AX107" i="1"/>
  <c r="AY107" i="1"/>
  <c r="AZ107" i="1"/>
  <c r="BA107" i="1"/>
  <c r="BB107" i="1"/>
  <c r="AM108" i="1"/>
  <c r="AN108" i="1"/>
  <c r="AO108" i="1"/>
  <c r="AP108" i="1"/>
  <c r="AQ108" i="1"/>
  <c r="AR108" i="1"/>
  <c r="AS108" i="1"/>
  <c r="AT108" i="1"/>
  <c r="AU108" i="1"/>
  <c r="AV108" i="1"/>
  <c r="AW108" i="1"/>
  <c r="AX108" i="1"/>
  <c r="AY108" i="1"/>
  <c r="AZ108" i="1"/>
  <c r="BA108" i="1"/>
  <c r="BB108" i="1"/>
  <c r="AH110" i="1"/>
  <c r="AM110" i="1"/>
  <c r="AN110" i="1"/>
  <c r="AO110" i="1"/>
  <c r="AP110" i="1"/>
  <c r="AQ110" i="1"/>
  <c r="AR110" i="1"/>
  <c r="AS110" i="1"/>
  <c r="AT110" i="1"/>
  <c r="AU110" i="1"/>
  <c r="AV110" i="1"/>
  <c r="AW110" i="1"/>
  <c r="AX110" i="1"/>
  <c r="AY110" i="1"/>
  <c r="AZ110" i="1"/>
  <c r="BA110" i="1"/>
  <c r="BB110" i="1"/>
  <c r="AM111" i="1"/>
  <c r="AN111" i="1"/>
  <c r="AO111" i="1"/>
  <c r="AP111" i="1"/>
  <c r="AQ111" i="1"/>
  <c r="AR111" i="1"/>
  <c r="AS111" i="1"/>
  <c r="AT111" i="1"/>
  <c r="AU111" i="1"/>
  <c r="AV111" i="1"/>
  <c r="AW111" i="1"/>
  <c r="AX111" i="1"/>
  <c r="AY111" i="1"/>
  <c r="AZ111" i="1"/>
  <c r="BA111" i="1"/>
  <c r="BB111" i="1"/>
  <c r="AH113" i="1"/>
  <c r="AM113" i="1"/>
  <c r="AN113" i="1"/>
  <c r="AO113" i="1"/>
  <c r="AP113" i="1"/>
  <c r="AQ113" i="1"/>
  <c r="AR113" i="1"/>
  <c r="AS113" i="1"/>
  <c r="AT113" i="1"/>
  <c r="AU113" i="1"/>
  <c r="AV113" i="1"/>
  <c r="AW113" i="1"/>
  <c r="AX113" i="1"/>
  <c r="AY113" i="1"/>
  <c r="AZ113" i="1"/>
  <c r="BA113" i="1"/>
  <c r="BB113" i="1"/>
  <c r="AM114" i="1"/>
  <c r="AN114" i="1"/>
  <c r="AO114" i="1"/>
  <c r="AP114" i="1"/>
  <c r="AQ114" i="1"/>
  <c r="AR114" i="1"/>
  <c r="AS114" i="1"/>
  <c r="AT114" i="1"/>
  <c r="AU114" i="1"/>
  <c r="AV114" i="1"/>
  <c r="AW114" i="1"/>
  <c r="AX114" i="1"/>
  <c r="AY114" i="1"/>
  <c r="AZ114" i="1"/>
  <c r="BA114" i="1"/>
  <c r="BB114" i="1"/>
  <c r="AH116" i="1"/>
  <c r="AM116" i="1"/>
  <c r="AN116" i="1"/>
  <c r="AO116" i="1"/>
  <c r="AP116" i="1"/>
  <c r="AQ116" i="1"/>
  <c r="AR116" i="1"/>
  <c r="AS116" i="1"/>
  <c r="AT116" i="1"/>
  <c r="AU116" i="1"/>
  <c r="AV116" i="1"/>
  <c r="AW116" i="1"/>
  <c r="AX116" i="1"/>
  <c r="AY116" i="1"/>
  <c r="AZ116" i="1"/>
  <c r="BA116" i="1"/>
  <c r="BB116" i="1"/>
  <c r="AM117" i="1"/>
  <c r="AN117" i="1"/>
  <c r="AO117" i="1"/>
  <c r="AP117" i="1"/>
  <c r="AQ117" i="1"/>
  <c r="AR117" i="1"/>
  <c r="AS117" i="1"/>
  <c r="AT117" i="1"/>
  <c r="AU117" i="1"/>
  <c r="AV117" i="1"/>
  <c r="AW117" i="1"/>
  <c r="AX117" i="1"/>
  <c r="AY117" i="1"/>
  <c r="AZ117" i="1"/>
  <c r="BA117" i="1"/>
  <c r="BB117" i="1"/>
  <c r="AH119" i="1"/>
  <c r="AM119" i="1"/>
  <c r="AN119" i="1"/>
  <c r="AO119" i="1"/>
  <c r="AP119" i="1"/>
  <c r="AQ119" i="1"/>
  <c r="AR119" i="1"/>
  <c r="AS119" i="1"/>
  <c r="AT119" i="1"/>
  <c r="AU119" i="1"/>
  <c r="AV119" i="1"/>
  <c r="AW119" i="1"/>
  <c r="AX119" i="1"/>
  <c r="AY119" i="1"/>
  <c r="AZ119" i="1"/>
  <c r="BA119" i="1"/>
  <c r="BB119" i="1"/>
  <c r="AM120" i="1"/>
  <c r="AN120" i="1"/>
  <c r="AO120" i="1"/>
  <c r="AP120" i="1"/>
  <c r="AQ120" i="1"/>
  <c r="AR120" i="1"/>
  <c r="AS120" i="1"/>
  <c r="AT120" i="1"/>
  <c r="AU120" i="1"/>
  <c r="AV120" i="1"/>
  <c r="AW120" i="1"/>
  <c r="AX120" i="1"/>
  <c r="AY120" i="1"/>
  <c r="AZ120" i="1"/>
  <c r="BA120" i="1"/>
  <c r="BB120" i="1"/>
  <c r="AH122" i="1"/>
  <c r="AM122" i="1"/>
  <c r="AN122" i="1"/>
  <c r="AO122" i="1"/>
  <c r="AP122" i="1"/>
  <c r="AQ122" i="1"/>
  <c r="AR122" i="1"/>
  <c r="AS122" i="1"/>
  <c r="AT122" i="1"/>
  <c r="AU122" i="1"/>
  <c r="AV122" i="1"/>
  <c r="AW122" i="1"/>
  <c r="AX122" i="1"/>
  <c r="AY122" i="1"/>
  <c r="AZ122" i="1"/>
  <c r="BA122" i="1"/>
  <c r="BB122" i="1"/>
  <c r="AM123" i="1"/>
  <c r="AN123" i="1"/>
  <c r="AO123" i="1"/>
  <c r="AP123" i="1"/>
  <c r="AQ123" i="1"/>
  <c r="AR123" i="1"/>
  <c r="AS123" i="1"/>
  <c r="AT123" i="1"/>
  <c r="AU123" i="1"/>
  <c r="AV123" i="1"/>
  <c r="AW123" i="1"/>
  <c r="AX123" i="1"/>
  <c r="AY123" i="1"/>
  <c r="AZ123" i="1"/>
  <c r="BA123" i="1"/>
  <c r="BB123" i="1"/>
  <c r="AH125" i="1"/>
  <c r="AM125" i="1"/>
  <c r="AN125" i="1"/>
  <c r="BD125" i="1" s="1"/>
  <c r="AO125" i="1"/>
  <c r="AP125" i="1"/>
  <c r="AQ125" i="1"/>
  <c r="AR125" i="1"/>
  <c r="AS125" i="1"/>
  <c r="AT125" i="1"/>
  <c r="AU125" i="1"/>
  <c r="AV125" i="1"/>
  <c r="AW125" i="1"/>
  <c r="AX125" i="1"/>
  <c r="AY125" i="1"/>
  <c r="AZ125" i="1"/>
  <c r="BA125" i="1"/>
  <c r="BB125" i="1"/>
  <c r="AM126" i="1"/>
  <c r="AN126" i="1"/>
  <c r="AO126" i="1"/>
  <c r="AP126" i="1"/>
  <c r="AQ126" i="1"/>
  <c r="AR126" i="1"/>
  <c r="AS126" i="1"/>
  <c r="AT126" i="1"/>
  <c r="AU126" i="1"/>
  <c r="AV126" i="1"/>
  <c r="AW126" i="1"/>
  <c r="AX126" i="1"/>
  <c r="AY126" i="1"/>
  <c r="AZ126" i="1"/>
  <c r="BA126" i="1"/>
  <c r="BB126" i="1"/>
  <c r="AH128" i="1"/>
  <c r="AM128" i="1"/>
  <c r="AN128" i="1"/>
  <c r="AO128" i="1"/>
  <c r="AP128" i="1"/>
  <c r="AQ128" i="1"/>
  <c r="AR128" i="1"/>
  <c r="AS128" i="1"/>
  <c r="AT128" i="1"/>
  <c r="AU128" i="1"/>
  <c r="AV128" i="1"/>
  <c r="AW128" i="1"/>
  <c r="AX128" i="1"/>
  <c r="AY128" i="1"/>
  <c r="AZ128" i="1"/>
  <c r="BA128" i="1"/>
  <c r="BB128" i="1"/>
  <c r="AM129" i="1"/>
  <c r="AN129" i="1"/>
  <c r="AO129" i="1"/>
  <c r="AP129" i="1"/>
  <c r="AQ129" i="1"/>
  <c r="AR129" i="1"/>
  <c r="AS129" i="1"/>
  <c r="AT129" i="1"/>
  <c r="AU129" i="1"/>
  <c r="AV129" i="1"/>
  <c r="AW129" i="1"/>
  <c r="AX129" i="1"/>
  <c r="AY129" i="1"/>
  <c r="AZ129" i="1"/>
  <c r="BA129" i="1"/>
  <c r="BB129" i="1"/>
  <c r="AH131" i="1"/>
  <c r="AM131" i="1"/>
  <c r="AN131" i="1"/>
  <c r="AO131" i="1"/>
  <c r="AP131" i="1"/>
  <c r="AQ131" i="1"/>
  <c r="AR131" i="1"/>
  <c r="AS131" i="1"/>
  <c r="AT131" i="1"/>
  <c r="AU131" i="1"/>
  <c r="AV131" i="1"/>
  <c r="AW131" i="1"/>
  <c r="AX131" i="1"/>
  <c r="AY131" i="1"/>
  <c r="AZ131" i="1"/>
  <c r="BA131" i="1"/>
  <c r="BB131" i="1"/>
  <c r="AM132" i="1"/>
  <c r="AN132" i="1"/>
  <c r="AO132" i="1"/>
  <c r="AP132" i="1"/>
  <c r="AQ132" i="1"/>
  <c r="AR132" i="1"/>
  <c r="AS132" i="1"/>
  <c r="AT132" i="1"/>
  <c r="AU132" i="1"/>
  <c r="AV132" i="1"/>
  <c r="AW132" i="1"/>
  <c r="AX132" i="1"/>
  <c r="AY132" i="1"/>
  <c r="AZ132" i="1"/>
  <c r="BA132" i="1"/>
  <c r="BB132" i="1"/>
  <c r="AH134" i="1"/>
  <c r="AM134" i="1"/>
  <c r="AN134" i="1"/>
  <c r="AO134" i="1"/>
  <c r="AP134" i="1"/>
  <c r="AQ134" i="1"/>
  <c r="AR134" i="1"/>
  <c r="AS134" i="1"/>
  <c r="AT134" i="1"/>
  <c r="AU134" i="1"/>
  <c r="AV134" i="1"/>
  <c r="AW134" i="1"/>
  <c r="AX134" i="1"/>
  <c r="AY134" i="1"/>
  <c r="AZ134" i="1"/>
  <c r="BA134" i="1"/>
  <c r="BB134" i="1"/>
  <c r="AM135" i="1"/>
  <c r="AN135" i="1"/>
  <c r="AO135" i="1"/>
  <c r="AP135" i="1"/>
  <c r="AQ135" i="1"/>
  <c r="AR135" i="1"/>
  <c r="AS135" i="1"/>
  <c r="AT135" i="1"/>
  <c r="AU135" i="1"/>
  <c r="AV135" i="1"/>
  <c r="AW135" i="1"/>
  <c r="AX135" i="1"/>
  <c r="AY135" i="1"/>
  <c r="AZ135" i="1"/>
  <c r="BA135" i="1"/>
  <c r="BB135" i="1"/>
  <c r="AH5" i="1"/>
  <c r="AH8" i="1"/>
  <c r="AH11" i="1"/>
  <c r="AH14" i="1"/>
  <c r="AH17" i="1"/>
  <c r="AH20" i="1"/>
  <c r="AH23" i="1"/>
  <c r="AH26" i="1"/>
  <c r="AH29" i="1"/>
  <c r="AH32" i="1"/>
  <c r="AH35" i="1"/>
  <c r="AH38" i="1"/>
  <c r="AH41" i="1"/>
  <c r="AH44" i="1"/>
  <c r="AH47" i="1"/>
  <c r="AH50" i="1"/>
  <c r="AH53" i="1"/>
  <c r="AH56" i="1"/>
  <c r="AH59" i="1"/>
  <c r="AH2" i="1"/>
  <c r="BD113" i="1" l="1"/>
  <c r="BD101" i="1"/>
  <c r="BD89" i="1"/>
  <c r="BD77" i="1"/>
  <c r="BD65" i="1"/>
  <c r="BD116" i="1"/>
  <c r="BD104" i="1"/>
  <c r="BD98" i="1"/>
  <c r="BD68" i="1"/>
  <c r="BD119" i="1"/>
  <c r="BD107" i="1"/>
  <c r="BD95" i="1"/>
  <c r="BD83" i="1"/>
  <c r="BD71" i="1"/>
  <c r="BD80" i="1"/>
  <c r="BD128" i="1"/>
  <c r="BD122" i="1"/>
  <c r="BD110" i="1"/>
  <c r="BD92" i="1"/>
  <c r="BD86" i="1"/>
  <c r="BD74" i="1"/>
  <c r="BD62" i="1"/>
  <c r="BD134" i="1"/>
  <c r="BD131" i="1"/>
  <c r="B1" i="1"/>
  <c r="BB60" i="1"/>
  <c r="BA60" i="1"/>
  <c r="AZ60" i="1"/>
  <c r="AY60" i="1"/>
  <c r="AX60" i="1"/>
  <c r="AW60" i="1"/>
  <c r="AV60" i="1"/>
  <c r="AU60" i="1"/>
  <c r="AT60" i="1"/>
  <c r="AS60" i="1"/>
  <c r="AR60" i="1"/>
  <c r="AQ60" i="1"/>
  <c r="AP60" i="1"/>
  <c r="AO60" i="1"/>
  <c r="AN60" i="1"/>
  <c r="AM60" i="1"/>
  <c r="BB59" i="1"/>
  <c r="BA59" i="1"/>
  <c r="AZ59" i="1"/>
  <c r="AY59" i="1"/>
  <c r="AX59" i="1"/>
  <c r="AW59" i="1"/>
  <c r="AV59" i="1"/>
  <c r="AU59" i="1"/>
  <c r="AT59" i="1"/>
  <c r="AS59" i="1"/>
  <c r="AR59" i="1"/>
  <c r="AQ59" i="1"/>
  <c r="AP59" i="1"/>
  <c r="AO59" i="1"/>
  <c r="AN59" i="1"/>
  <c r="AM59" i="1"/>
  <c r="BB57" i="1"/>
  <c r="BA57" i="1"/>
  <c r="AZ57" i="1"/>
  <c r="AY57" i="1"/>
  <c r="AX57" i="1"/>
  <c r="AW57" i="1"/>
  <c r="AV57" i="1"/>
  <c r="AU57" i="1"/>
  <c r="AT57" i="1"/>
  <c r="AS57" i="1"/>
  <c r="AR57" i="1"/>
  <c r="AQ57" i="1"/>
  <c r="AP57" i="1"/>
  <c r="AO57" i="1"/>
  <c r="AN57" i="1"/>
  <c r="AM57" i="1"/>
  <c r="BB56" i="1"/>
  <c r="BA56" i="1"/>
  <c r="AZ56" i="1"/>
  <c r="AY56" i="1"/>
  <c r="AX56" i="1"/>
  <c r="AW56" i="1"/>
  <c r="AV56" i="1"/>
  <c r="AU56" i="1"/>
  <c r="AT56" i="1"/>
  <c r="AS56" i="1"/>
  <c r="AR56" i="1"/>
  <c r="AQ56" i="1"/>
  <c r="AP56" i="1"/>
  <c r="AO56" i="1"/>
  <c r="AN56" i="1"/>
  <c r="AM56" i="1"/>
  <c r="AM50" i="1"/>
  <c r="AN50" i="1"/>
  <c r="AO50" i="1"/>
  <c r="AP50" i="1"/>
  <c r="AQ50" i="1"/>
  <c r="AR50" i="1"/>
  <c r="AS50" i="1"/>
  <c r="AT50" i="1"/>
  <c r="AU50" i="1"/>
  <c r="AV50" i="1"/>
  <c r="AW50" i="1"/>
  <c r="AX50" i="1"/>
  <c r="AY50" i="1"/>
  <c r="AZ50" i="1"/>
  <c r="BA50" i="1"/>
  <c r="BB50" i="1"/>
  <c r="AM51" i="1"/>
  <c r="AN51" i="1"/>
  <c r="AO51" i="1"/>
  <c r="AP51" i="1"/>
  <c r="AQ51" i="1"/>
  <c r="AR51" i="1"/>
  <c r="AS51" i="1"/>
  <c r="AT51" i="1"/>
  <c r="AU51" i="1"/>
  <c r="AV51" i="1"/>
  <c r="AW51" i="1"/>
  <c r="AX51" i="1"/>
  <c r="AY51" i="1"/>
  <c r="AZ51" i="1"/>
  <c r="BA51" i="1"/>
  <c r="BB51" i="1"/>
  <c r="AM53" i="1"/>
  <c r="AN53" i="1"/>
  <c r="AO53" i="1"/>
  <c r="AP53" i="1"/>
  <c r="AQ53" i="1"/>
  <c r="AR53" i="1"/>
  <c r="AS53" i="1"/>
  <c r="AT53" i="1"/>
  <c r="AU53" i="1"/>
  <c r="AV53" i="1"/>
  <c r="AW53" i="1"/>
  <c r="AX53" i="1"/>
  <c r="AY53" i="1"/>
  <c r="AZ53" i="1"/>
  <c r="BA53" i="1"/>
  <c r="BB53" i="1"/>
  <c r="AM54" i="1"/>
  <c r="AN54" i="1"/>
  <c r="AO54" i="1"/>
  <c r="AP54" i="1"/>
  <c r="AQ54" i="1"/>
  <c r="AR54" i="1"/>
  <c r="AS54" i="1"/>
  <c r="AT54" i="1"/>
  <c r="AU54" i="1"/>
  <c r="AV54" i="1"/>
  <c r="AW54" i="1"/>
  <c r="AX54" i="1"/>
  <c r="AY54" i="1"/>
  <c r="AZ54" i="1"/>
  <c r="BA54" i="1"/>
  <c r="BB54" i="1"/>
  <c r="AM41" i="1"/>
  <c r="AN41" i="1"/>
  <c r="AO41" i="1"/>
  <c r="AP41" i="1"/>
  <c r="AQ41" i="1"/>
  <c r="AR41" i="1"/>
  <c r="AS41" i="1"/>
  <c r="AT41" i="1"/>
  <c r="AU41" i="1"/>
  <c r="AV41" i="1"/>
  <c r="AW41" i="1"/>
  <c r="AX41" i="1"/>
  <c r="AY41" i="1"/>
  <c r="AZ41" i="1"/>
  <c r="BA41" i="1"/>
  <c r="BB41" i="1"/>
  <c r="AM42" i="1"/>
  <c r="AN42" i="1"/>
  <c r="AO42" i="1"/>
  <c r="AP42" i="1"/>
  <c r="AQ42" i="1"/>
  <c r="AR42" i="1"/>
  <c r="AS42" i="1"/>
  <c r="AT42" i="1"/>
  <c r="AU42" i="1"/>
  <c r="AV42" i="1"/>
  <c r="AW42" i="1"/>
  <c r="AX42" i="1"/>
  <c r="AY42" i="1"/>
  <c r="AZ42" i="1"/>
  <c r="BA42" i="1"/>
  <c r="BB42" i="1"/>
  <c r="AM44" i="1"/>
  <c r="AN44" i="1"/>
  <c r="AO44" i="1"/>
  <c r="AP44" i="1"/>
  <c r="AQ44" i="1"/>
  <c r="AR44" i="1"/>
  <c r="AS44" i="1"/>
  <c r="AT44" i="1"/>
  <c r="AU44" i="1"/>
  <c r="AV44" i="1"/>
  <c r="AW44" i="1"/>
  <c r="AX44" i="1"/>
  <c r="AY44" i="1"/>
  <c r="AZ44" i="1"/>
  <c r="BA44" i="1"/>
  <c r="BB44" i="1"/>
  <c r="AM45" i="1"/>
  <c r="AN45" i="1"/>
  <c r="AO45" i="1"/>
  <c r="AP45" i="1"/>
  <c r="AQ45" i="1"/>
  <c r="AR45" i="1"/>
  <c r="AS45" i="1"/>
  <c r="AT45" i="1"/>
  <c r="AU45" i="1"/>
  <c r="AV45" i="1"/>
  <c r="AW45" i="1"/>
  <c r="AX45" i="1"/>
  <c r="AY45" i="1"/>
  <c r="AZ45" i="1"/>
  <c r="BA45" i="1"/>
  <c r="BB45" i="1"/>
  <c r="AM47" i="1"/>
  <c r="AN47" i="1"/>
  <c r="AO47" i="1"/>
  <c r="AP47" i="1"/>
  <c r="AQ47" i="1"/>
  <c r="AR47" i="1"/>
  <c r="AS47" i="1"/>
  <c r="AT47" i="1"/>
  <c r="AU47" i="1"/>
  <c r="AV47" i="1"/>
  <c r="AW47" i="1"/>
  <c r="AX47" i="1"/>
  <c r="AY47" i="1"/>
  <c r="AZ47" i="1"/>
  <c r="BA47" i="1"/>
  <c r="BB47" i="1"/>
  <c r="AM48" i="1"/>
  <c r="AN48" i="1"/>
  <c r="AO48" i="1"/>
  <c r="AP48" i="1"/>
  <c r="AQ48" i="1"/>
  <c r="AR48" i="1"/>
  <c r="AS48" i="1"/>
  <c r="AT48" i="1"/>
  <c r="AU48" i="1"/>
  <c r="AV48" i="1"/>
  <c r="AW48" i="1"/>
  <c r="AX48" i="1"/>
  <c r="AY48" i="1"/>
  <c r="AZ48" i="1"/>
  <c r="BA48" i="1"/>
  <c r="BB48" i="1"/>
  <c r="AM32" i="1"/>
  <c r="AN32" i="1"/>
  <c r="AO32" i="1"/>
  <c r="AP32" i="1"/>
  <c r="AQ32" i="1"/>
  <c r="AR32" i="1"/>
  <c r="AS32" i="1"/>
  <c r="AT32" i="1"/>
  <c r="AU32" i="1"/>
  <c r="AV32" i="1"/>
  <c r="AW32" i="1"/>
  <c r="AX32" i="1"/>
  <c r="AY32" i="1"/>
  <c r="AZ32" i="1"/>
  <c r="BA32" i="1"/>
  <c r="BB32" i="1"/>
  <c r="AM33" i="1"/>
  <c r="AN33" i="1"/>
  <c r="AO33" i="1"/>
  <c r="AP33" i="1"/>
  <c r="AQ33" i="1"/>
  <c r="AR33" i="1"/>
  <c r="AS33" i="1"/>
  <c r="AT33" i="1"/>
  <c r="AU33" i="1"/>
  <c r="AV33" i="1"/>
  <c r="AW33" i="1"/>
  <c r="AX33" i="1"/>
  <c r="AY33" i="1"/>
  <c r="AZ33" i="1"/>
  <c r="BA33" i="1"/>
  <c r="BB33" i="1"/>
  <c r="AM35" i="1"/>
  <c r="AN35" i="1"/>
  <c r="AO35" i="1"/>
  <c r="AP35" i="1"/>
  <c r="AQ35" i="1"/>
  <c r="AR35" i="1"/>
  <c r="AS35" i="1"/>
  <c r="AT35" i="1"/>
  <c r="AU35" i="1"/>
  <c r="AV35" i="1"/>
  <c r="AW35" i="1"/>
  <c r="AX35" i="1"/>
  <c r="AY35" i="1"/>
  <c r="AZ35" i="1"/>
  <c r="BA35" i="1"/>
  <c r="BB35" i="1"/>
  <c r="AM36" i="1"/>
  <c r="AN36" i="1"/>
  <c r="AO36" i="1"/>
  <c r="AP36" i="1"/>
  <c r="AQ36" i="1"/>
  <c r="AR36" i="1"/>
  <c r="AS36" i="1"/>
  <c r="AT36" i="1"/>
  <c r="AU36" i="1"/>
  <c r="AV36" i="1"/>
  <c r="AW36" i="1"/>
  <c r="AX36" i="1"/>
  <c r="AY36" i="1"/>
  <c r="AZ36" i="1"/>
  <c r="BA36" i="1"/>
  <c r="BB36" i="1"/>
  <c r="AM38" i="1"/>
  <c r="AN38" i="1"/>
  <c r="AO38" i="1"/>
  <c r="AP38" i="1"/>
  <c r="AQ38" i="1"/>
  <c r="AR38" i="1"/>
  <c r="AS38" i="1"/>
  <c r="AT38" i="1"/>
  <c r="AU38" i="1"/>
  <c r="AV38" i="1"/>
  <c r="AW38" i="1"/>
  <c r="AX38" i="1"/>
  <c r="AY38" i="1"/>
  <c r="AZ38" i="1"/>
  <c r="BA38" i="1"/>
  <c r="BB38" i="1"/>
  <c r="AM39" i="1"/>
  <c r="AN39" i="1"/>
  <c r="AO39" i="1"/>
  <c r="AP39" i="1"/>
  <c r="AQ39" i="1"/>
  <c r="AR39" i="1"/>
  <c r="AS39" i="1"/>
  <c r="AT39" i="1"/>
  <c r="AU39" i="1"/>
  <c r="AV39" i="1"/>
  <c r="AW39" i="1"/>
  <c r="AX39" i="1"/>
  <c r="AY39" i="1"/>
  <c r="AZ39" i="1"/>
  <c r="BA39" i="1"/>
  <c r="BB39" i="1"/>
  <c r="AN18" i="1"/>
  <c r="AO18" i="1"/>
  <c r="AP18" i="1"/>
  <c r="AQ18" i="1"/>
  <c r="AR18" i="1"/>
  <c r="AS18" i="1"/>
  <c r="AT18" i="1"/>
  <c r="AU18" i="1"/>
  <c r="AV18" i="1"/>
  <c r="AW18" i="1"/>
  <c r="AX18" i="1"/>
  <c r="AY18" i="1"/>
  <c r="AZ18" i="1"/>
  <c r="BA18" i="1"/>
  <c r="BB18" i="1"/>
  <c r="AM5" i="1"/>
  <c r="AN5" i="1"/>
  <c r="AO5" i="1"/>
  <c r="AP5" i="1"/>
  <c r="AQ5" i="1"/>
  <c r="AR5" i="1"/>
  <c r="AS5" i="1"/>
  <c r="AT5" i="1"/>
  <c r="AU5" i="1"/>
  <c r="AV5" i="1"/>
  <c r="AW5" i="1"/>
  <c r="AX5" i="1"/>
  <c r="AY5" i="1"/>
  <c r="AZ5" i="1"/>
  <c r="BA5" i="1"/>
  <c r="BB5" i="1"/>
  <c r="AM6" i="1"/>
  <c r="AN6" i="1"/>
  <c r="AO6" i="1"/>
  <c r="AP6" i="1"/>
  <c r="AQ6" i="1"/>
  <c r="AR6" i="1"/>
  <c r="AS6" i="1"/>
  <c r="AT6" i="1"/>
  <c r="AU6" i="1"/>
  <c r="AV6" i="1"/>
  <c r="AW6" i="1"/>
  <c r="AX6" i="1"/>
  <c r="AY6" i="1"/>
  <c r="AZ6" i="1"/>
  <c r="BA6" i="1"/>
  <c r="BB6" i="1"/>
  <c r="AM8" i="1"/>
  <c r="AN8" i="1"/>
  <c r="AO8" i="1"/>
  <c r="AP8" i="1"/>
  <c r="AQ8" i="1"/>
  <c r="AR8" i="1"/>
  <c r="AS8" i="1"/>
  <c r="AT8" i="1"/>
  <c r="AU8" i="1"/>
  <c r="AV8" i="1"/>
  <c r="AW8" i="1"/>
  <c r="AX8" i="1"/>
  <c r="AY8" i="1"/>
  <c r="AZ8" i="1"/>
  <c r="BA8" i="1"/>
  <c r="BB8" i="1"/>
  <c r="AM9" i="1"/>
  <c r="AN9" i="1"/>
  <c r="AO9" i="1"/>
  <c r="AP9" i="1"/>
  <c r="AQ9" i="1"/>
  <c r="AR9" i="1"/>
  <c r="AS9" i="1"/>
  <c r="AT9" i="1"/>
  <c r="AU9" i="1"/>
  <c r="AV9" i="1"/>
  <c r="AW9" i="1"/>
  <c r="AX9" i="1"/>
  <c r="AY9" i="1"/>
  <c r="AZ9" i="1"/>
  <c r="BA9" i="1"/>
  <c r="BB9" i="1"/>
  <c r="AM11" i="1"/>
  <c r="AN11" i="1"/>
  <c r="AO11" i="1"/>
  <c r="AP11" i="1"/>
  <c r="AQ11" i="1"/>
  <c r="AR11" i="1"/>
  <c r="AS11" i="1"/>
  <c r="AT11" i="1"/>
  <c r="AU11" i="1"/>
  <c r="AV11" i="1"/>
  <c r="AW11" i="1"/>
  <c r="AX11" i="1"/>
  <c r="AY11" i="1"/>
  <c r="AZ11" i="1"/>
  <c r="BA11" i="1"/>
  <c r="BB11" i="1"/>
  <c r="AM12" i="1"/>
  <c r="AN12" i="1"/>
  <c r="AO12" i="1"/>
  <c r="AP12" i="1"/>
  <c r="AQ12" i="1"/>
  <c r="AR12" i="1"/>
  <c r="AS12" i="1"/>
  <c r="AT12" i="1"/>
  <c r="AU12" i="1"/>
  <c r="AV12" i="1"/>
  <c r="AW12" i="1"/>
  <c r="AX12" i="1"/>
  <c r="AY12" i="1"/>
  <c r="AZ12" i="1"/>
  <c r="BA12" i="1"/>
  <c r="BB12" i="1"/>
  <c r="AM14" i="1"/>
  <c r="AN14" i="1"/>
  <c r="AO14" i="1"/>
  <c r="AP14" i="1"/>
  <c r="AQ14" i="1"/>
  <c r="AR14" i="1"/>
  <c r="AS14" i="1"/>
  <c r="AT14" i="1"/>
  <c r="AU14" i="1"/>
  <c r="AV14" i="1"/>
  <c r="AW14" i="1"/>
  <c r="AX14" i="1"/>
  <c r="AY14" i="1"/>
  <c r="AZ14" i="1"/>
  <c r="BA14" i="1"/>
  <c r="BB14" i="1"/>
  <c r="AM15" i="1"/>
  <c r="AN15" i="1"/>
  <c r="AO15" i="1"/>
  <c r="AP15" i="1"/>
  <c r="AQ15" i="1"/>
  <c r="AR15" i="1"/>
  <c r="AS15" i="1"/>
  <c r="AT15" i="1"/>
  <c r="AU15" i="1"/>
  <c r="AV15" i="1"/>
  <c r="AW15" i="1"/>
  <c r="AX15" i="1"/>
  <c r="AY15" i="1"/>
  <c r="AZ15" i="1"/>
  <c r="BA15" i="1"/>
  <c r="BB15" i="1"/>
  <c r="AM17" i="1"/>
  <c r="AN17" i="1"/>
  <c r="AO17" i="1"/>
  <c r="AP17" i="1"/>
  <c r="AQ17" i="1"/>
  <c r="AR17" i="1"/>
  <c r="AS17" i="1"/>
  <c r="AT17" i="1"/>
  <c r="AU17" i="1"/>
  <c r="AV17" i="1"/>
  <c r="AW17" i="1"/>
  <c r="AX17" i="1"/>
  <c r="AY17" i="1"/>
  <c r="AZ17" i="1"/>
  <c r="BA17" i="1"/>
  <c r="BB17" i="1"/>
  <c r="AM18" i="1"/>
  <c r="AM20" i="1"/>
  <c r="AN20" i="1"/>
  <c r="AO20" i="1"/>
  <c r="AP20" i="1"/>
  <c r="AQ20" i="1"/>
  <c r="AR20" i="1"/>
  <c r="AS20" i="1"/>
  <c r="AT20" i="1"/>
  <c r="AU20" i="1"/>
  <c r="AV20" i="1"/>
  <c r="AW20" i="1"/>
  <c r="AX20" i="1"/>
  <c r="AY20" i="1"/>
  <c r="AZ20" i="1"/>
  <c r="BA20" i="1"/>
  <c r="BB20" i="1"/>
  <c r="AM21" i="1"/>
  <c r="AN21" i="1"/>
  <c r="AO21" i="1"/>
  <c r="AP21" i="1"/>
  <c r="AQ21" i="1"/>
  <c r="AR21" i="1"/>
  <c r="AS21" i="1"/>
  <c r="AT21" i="1"/>
  <c r="AU21" i="1"/>
  <c r="AV21" i="1"/>
  <c r="AW21" i="1"/>
  <c r="AX21" i="1"/>
  <c r="AY21" i="1"/>
  <c r="AZ21" i="1"/>
  <c r="BA21" i="1"/>
  <c r="BB21" i="1"/>
  <c r="AM23" i="1"/>
  <c r="AN23" i="1"/>
  <c r="AO23" i="1"/>
  <c r="AP23" i="1"/>
  <c r="AQ23" i="1"/>
  <c r="AR23" i="1"/>
  <c r="AS23" i="1"/>
  <c r="AT23" i="1"/>
  <c r="AU23" i="1"/>
  <c r="AV23" i="1"/>
  <c r="AW23" i="1"/>
  <c r="AX23" i="1"/>
  <c r="AY23" i="1"/>
  <c r="AZ23" i="1"/>
  <c r="BA23" i="1"/>
  <c r="BB23" i="1"/>
  <c r="AM24" i="1"/>
  <c r="AN24" i="1"/>
  <c r="AO24" i="1"/>
  <c r="AP24" i="1"/>
  <c r="AQ24" i="1"/>
  <c r="AR24" i="1"/>
  <c r="AS24" i="1"/>
  <c r="AT24" i="1"/>
  <c r="AU24" i="1"/>
  <c r="AV24" i="1"/>
  <c r="AW24" i="1"/>
  <c r="AX24" i="1"/>
  <c r="AY24" i="1"/>
  <c r="AZ24" i="1"/>
  <c r="BA24" i="1"/>
  <c r="BB24" i="1"/>
  <c r="AM26" i="1"/>
  <c r="AN26" i="1"/>
  <c r="AO26" i="1"/>
  <c r="AP26" i="1"/>
  <c r="AQ26" i="1"/>
  <c r="AR26" i="1"/>
  <c r="AS26" i="1"/>
  <c r="AT26" i="1"/>
  <c r="AU26" i="1"/>
  <c r="AV26" i="1"/>
  <c r="AW26" i="1"/>
  <c r="AX26" i="1"/>
  <c r="AY26" i="1"/>
  <c r="AZ26" i="1"/>
  <c r="BA26" i="1"/>
  <c r="BB26" i="1"/>
  <c r="AM27" i="1"/>
  <c r="AN27" i="1"/>
  <c r="AO27" i="1"/>
  <c r="AP27" i="1"/>
  <c r="AQ27" i="1"/>
  <c r="AR27" i="1"/>
  <c r="AS27" i="1"/>
  <c r="AT27" i="1"/>
  <c r="AU27" i="1"/>
  <c r="AV27" i="1"/>
  <c r="AW27" i="1"/>
  <c r="AX27" i="1"/>
  <c r="AY27" i="1"/>
  <c r="AZ27" i="1"/>
  <c r="BA27" i="1"/>
  <c r="BB27" i="1"/>
  <c r="AM29" i="1"/>
  <c r="AN29" i="1"/>
  <c r="AO29" i="1"/>
  <c r="AP29" i="1"/>
  <c r="AQ29" i="1"/>
  <c r="AR29" i="1"/>
  <c r="AS29" i="1"/>
  <c r="AT29" i="1"/>
  <c r="AU29" i="1"/>
  <c r="AV29" i="1"/>
  <c r="AW29" i="1"/>
  <c r="AX29" i="1"/>
  <c r="AY29" i="1"/>
  <c r="AZ29" i="1"/>
  <c r="BA29" i="1"/>
  <c r="BB29" i="1"/>
  <c r="AM30" i="1"/>
  <c r="AN30" i="1"/>
  <c r="AO30" i="1"/>
  <c r="AP30" i="1"/>
  <c r="AQ30" i="1"/>
  <c r="AR30" i="1"/>
  <c r="AS30" i="1"/>
  <c r="AT30" i="1"/>
  <c r="AU30" i="1"/>
  <c r="AV30" i="1"/>
  <c r="AW30" i="1"/>
  <c r="AX30" i="1"/>
  <c r="AY30" i="1"/>
  <c r="AZ30" i="1"/>
  <c r="BA30" i="1"/>
  <c r="BB30" i="1"/>
  <c r="AM3" i="1"/>
  <c r="AN3" i="1"/>
  <c r="AO3" i="1"/>
  <c r="AP3" i="1"/>
  <c r="AQ3" i="1"/>
  <c r="AR3" i="1"/>
  <c r="AS3" i="1"/>
  <c r="AT3" i="1"/>
  <c r="AU3" i="1"/>
  <c r="AV3" i="1"/>
  <c r="AW3" i="1"/>
  <c r="AX3" i="1"/>
  <c r="AY3" i="1"/>
  <c r="AZ3" i="1"/>
  <c r="BA3" i="1"/>
  <c r="BB3" i="1"/>
  <c r="AN2" i="1"/>
  <c r="AO2" i="1"/>
  <c r="AP2" i="1"/>
  <c r="AQ2" i="1"/>
  <c r="AR2" i="1"/>
  <c r="AS2" i="1"/>
  <c r="AT2" i="1"/>
  <c r="AU2" i="1"/>
  <c r="AV2" i="1"/>
  <c r="AW2" i="1"/>
  <c r="AX2" i="1"/>
  <c r="AY2" i="1"/>
  <c r="AZ2" i="1"/>
  <c r="BA2" i="1"/>
  <c r="BB2" i="1"/>
  <c r="AM2" i="1"/>
  <c r="BD26" i="1" l="1"/>
  <c r="BD23" i="1"/>
  <c r="BD20" i="1"/>
  <c r="BD38" i="1"/>
  <c r="BD35" i="1"/>
  <c r="BD32" i="1"/>
  <c r="BD47" i="1"/>
  <c r="BD44" i="1"/>
  <c r="BD41" i="1"/>
  <c r="BD53" i="1"/>
  <c r="BD50" i="1"/>
  <c r="BD29" i="1"/>
  <c r="BD2" i="1"/>
  <c r="D1" i="1" s="1"/>
  <c r="BD17" i="1"/>
  <c r="BD14" i="1"/>
  <c r="BD11" i="1"/>
  <c r="BD8" i="1"/>
  <c r="BD5" i="1"/>
  <c r="BD56" i="1"/>
  <c r="BD59" i="1"/>
</calcChain>
</file>

<file path=xl/sharedStrings.xml><?xml version="1.0" encoding="utf-8"?>
<sst xmlns="http://schemas.openxmlformats.org/spreadsheetml/2006/main" count="880" uniqueCount="68">
  <si>
    <t>N</t>
  </si>
  <si>
    <t>:</t>
  </si>
  <si>
    <t>S</t>
  </si>
  <si>
    <t>C</t>
  </si>
  <si>
    <t>.</t>
  </si>
  <si>
    <t>V</t>
  </si>
  <si>
    <t>T</t>
  </si>
  <si>
    <t>id</t>
  </si>
  <si>
    <t>E</t>
  </si>
  <si>
    <t>e</t>
  </si>
  <si>
    <t>-</t>
  </si>
  <si>
    <t>P</t>
  </si>
  <si>
    <t>A</t>
  </si>
  <si>
    <t>v</t>
  </si>
  <si>
    <t>&lt;</t>
  </si>
  <si>
    <t>&gt;</t>
  </si>
  <si>
    <t>R</t>
  </si>
  <si>
    <t>I</t>
  </si>
  <si>
    <t>D</t>
  </si>
  <si>
    <t>O</t>
  </si>
  <si>
    <t>B</t>
  </si>
  <si>
    <t>Z</t>
  </si>
  <si>
    <t>T/P</t>
  </si>
  <si>
    <t>L</t>
  </si>
  <si>
    <t>G</t>
  </si>
  <si>
    <t>ic</t>
  </si>
  <si>
    <t>dc</t>
  </si>
  <si>
    <t>fc</t>
  </si>
  <si>
    <t>fdc</t>
  </si>
  <si>
    <t>ec</t>
  </si>
  <si>
    <t>dec</t>
  </si>
  <si>
    <t>fec</t>
  </si>
  <si>
    <t>fdec</t>
  </si>
  <si>
    <t>il</t>
  </si>
  <si>
    <t>dl</t>
  </si>
  <si>
    <t>fl</t>
  </si>
  <si>
    <t>fdl</t>
  </si>
  <si>
    <t>el</t>
  </si>
  <si>
    <t>del</t>
  </si>
  <si>
    <t>fel</t>
  </si>
  <si>
    <t>fdel</t>
  </si>
  <si>
    <t>M</t>
  </si>
  <si>
    <t>{"</t>
  </si>
  <si>
    <t>",</t>
  </si>
  <si>
    <t>"</t>
  </si>
  <si>
    <t>"},</t>
  </si>
  <si>
    <t>(</t>
  </si>
  <si>
    <t>)</t>
  </si>
  <si>
    <t>/</t>
  </si>
  <si>
    <t xml:space="preserve"> </t>
  </si>
  <si>
    <t>U</t>
  </si>
  <si>
    <t>^</t>
  </si>
  <si>
    <t>n</t>
  </si>
  <si>
    <t>=</t>
  </si>
  <si>
    <t>+</t>
  </si>
  <si>
    <t>K</t>
  </si>
  <si>
    <t>r</t>
  </si>
  <si>
    <t>\B11100000</t>
  </si>
  <si>
    <t>\B11100010</t>
  </si>
  <si>
    <t>\B11100011</t>
  </si>
  <si>
    <t>@</t>
  </si>
  <si>
    <t>!</t>
  </si>
  <si>
    <t>!/#</t>
  </si>
  <si>
    <t>[</t>
  </si>
  <si>
    <t>]</t>
  </si>
  <si>
    <t>X</t>
  </si>
  <si>
    <t>Nav</t>
  </si>
  <si>
    <t>Txt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</si>
</sst>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>
      <alignment horizontal="center" vertical="center" textRotation="90"/>
    </xf>
    <xf numFmtId="0" fontId="0" fillId="2" borderId="0" xfId="0" applyFill="1" applyAlignment="1">
      <alignment horizontal="center" vertical="center" textRotation="90"/>
    </xf>
    <xf numFmtId="0" fontId="0" fillId="2" borderId="0" xfId="0" applyFill="1"/>
    <xf numFmtId="0" fontId="0" fillId="3" borderId="0" xfId="0" applyFill="1" applyAlignment="1">
      <alignment horizontal="center" vertical="center" textRotation="90"/>
    </xf>
    <xf numFmtId="0" fontId="0" fillId="3" borderId="0" xfId="0" applyFill="1"/>
    <xf numFmtId="0" fontId="0" fillId="4" borderId="0" xfId="0" applyFill="1"/>
    <xf numFmtId="0" fontId="1" fillId="5" borderId="0" xfId="0" applyFont="1" applyFill="1"/>
    <xf numFmtId="0" fontId="1" fillId="5" borderId="0" xfId="0" applyFont="1" applyFill="1" applyAlignment="1">
      <alignment horizontal="center" vertical="center" textRotation="90"/>
    </xf>
    <xf numFmtId="0" fontId="0" fillId="6" borderId="0" xfId="0" applyFill="1"/>
    <xf numFmtId="0" fontId="0" fillId="6" borderId="0" xfId="0" applyFill="1" applyAlignment="1">
      <alignment horizontal="center" vertical="center" textRotation="90"/>
    </xf>
    <xf numFmtId="0" fontId="0" fillId="6" borderId="0" xfId="0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7" borderId="0" xfId="0" applyFill="1" applyAlignment="1">
      <alignment horizontal="center" vertical="center" textRotation="90"/>
    </xf>
    <xf numFmtId="0" fontId="0" fillId="7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56</xdr:col>
      <xdr:colOff>85725</xdr:colOff>
      <xdr:row>0</xdr:row>
      <xdr:rowOff>38100</xdr:rowOff>
    </xdr:from>
    <xdr:to>
      <xdr:col>64</xdr:col>
      <xdr:colOff>523875</xdr:colOff>
      <xdr:row>41</xdr:row>
      <xdr:rowOff>104775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FA5F402-4299-808B-3A9D-792C00238E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982950" y="38100"/>
          <a:ext cx="5314950" cy="8058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6DCFA9-B324-453E-BA2E-D14CE508EA43}">
  <dimension ref="A1:BD135"/>
  <sheetViews>
    <sheetView tabSelected="1" workbookViewId="0">
      <pane ySplit="1" topLeftCell="A7" activePane="bottomLeft" state="frozen"/>
      <selection pane="bottomLeft" activeCell="V22" sqref="V22"/>
    </sheetView>
  </sheetViews>
  <sheetFormatPr defaultRowHeight="15" x14ac:dyDescent="0.25"/>
  <cols>
    <col min="1" max="16" width="3.5703125" style="1" customWidth="1"/>
    <col min="17" max="17" width="9.140625" style="1"/>
    <col min="18" max="19" width="3.42578125" style="1" customWidth="1"/>
    <col min="20" max="20" width="3.42578125" style="13" customWidth="1"/>
    <col min="21" max="22" width="3.42578125" style="1" customWidth="1"/>
    <col min="23" max="23" width="3.42578125" style="14" customWidth="1"/>
    <col min="24" max="24" width="3.42578125" style="1" customWidth="1"/>
    <col min="25" max="25" width="3.42578125" style="16" customWidth="1"/>
    <col min="26" max="30" width="3.42578125" style="1" customWidth="1"/>
    <col min="31" max="31" width="3.42578125" style="17" customWidth="1"/>
    <col min="32" max="32" width="3.42578125" style="1" customWidth="1"/>
    <col min="33" max="33" width="3.42578125" style="18" customWidth="1"/>
    <col min="36" max="36" width="10.5703125" customWidth="1"/>
    <col min="37" max="37" width="15" customWidth="1"/>
    <col min="38" max="55" width="3.5703125" customWidth="1"/>
  </cols>
  <sheetData>
    <row r="1" spans="1:56" ht="25.5" customHeight="1" x14ac:dyDescent="0.25">
      <c r="A1" s="14" t="s">
        <v>66</v>
      </c>
      <c r="B1" s="1" t="str">
        <f>_xlfn.CONCAT(AH:AH)</f>
        <v xml:space="preserve">{0,3,2,0,3,0,0,2,0,0,4,0,0,1,0,4},
{1,1,0,1,1,0,1,2,1,1,1,1,1,0,1,4},
{2,2,2,2,2,0,2,2,2,2,2,2,2,0,0,4},
{3,0,5,3,0,3,3,2,3,3,4,3,3,1,3,4},
{4,1,4,4,0,0,4,2,4,4,4,4,4,0,4,4},
{5,6,8,5,28,3,5,2,5,5,5,5,5,0,5,4},
{6,28,20,6,5,3,6,2,6,6,6,6,6,0,6,4},
{7,7,3,7,7,3,7,2,7,7,7,7,7,0,7,4},
{8,9,16,8,15,5,8,2,8,8,19,8,8,0,8,4},
{9,10,16,9,8,5,9,2,9,9,19,9,9,0,9,4},
{10,11,16,10,9,5,10,2,10,10,19,10,10,0,10,4},
{11,12,16,11,10,5,11,2,11,11,19,11,11,0,11,4},
{12,13,16,12,11,5,12,2,12,12,19,12,12,0,12,4},
{13,14,16,13,12,5,13,2,13,13,19,13,13,0,13,4},
{14,15,16,14,13,5,14,2,14,14,19,14,14,0,14,4},
{15,8,16,15,14,5,15,2,15,15,19,15,15,0,15,4},
{16,16,17,16,16,5,16,2,16,16,16,16,16,0,16,4},
{17,17,18,17,17,5,17,2,17,17,19,17,17,0,17,4},
{18,18,17,18,18,5,18,2,18,18,18,18,18,0,18,4},
{19,19,8,19,19,5,19,2,19,19,19,19,19,0,19,4},
{20,21,16,20,27,5,20,2,20,20,19,20,20,0,20,4},
{21,22,16,21,20,5,21,2,21,21,19,21,21,0,21,4},
{22,23,16,22,21,5,22,2,22,22,19,22,22,0,22,4},
{23,24,16,23,22,5,23,2,23,23,19,23,23,0,23,4},
{24,25,16,24,23,5,24,2,24,24,19,24,24,0,24,4},
{25,26,16,25,24,5,25,2,25,25,19,25,25,0,25,4},
{26,27,16,26,25,5,26,2,26,26,19,26,26,0,26,4},
{27,20,16,27,26,5,27,2,27,27,19,27,27,0,27,4},
{28,5,29,28,6,3,28,2,28,28,28,28,28,0,28,4},
{29,30,43,29,42,3,29,2,29,29,29,29,29,0,29,4},
{30,31,43,30,29,3,30,2,30,30,30,30,30,0,30,4},
{31,32,43,31,30,3,31,2,31,31,31,31,31,0,31,4},
{32,33,43,32,31,3,32,2,32,32,32,32,32,0,32,4},
{33,34,43,33,32,3,33,2,33,33,33,33,33,0,33,4},
{34,35,43,34,33,3,34,2,34,34,34,34,34,0,34,4},
{35,36,44,35,34,3,35,2,35,35,35,35,35,0,35,4},
{36,37,44,36,35,3,36,2,36,36,36,36,36,0,36,4},
{37,38,44,37,36,3,37,2,37,37,37,37,37,0,37,4},
{38,39,44,38,37,3,38,2,38,38,38,38,38,0,38,4},
{39,40,44,39,38,3,39,2,39,39,39,39,39,0,39,4},
{40,41,44,40,39,3,40,2,40,40,40,40,40,0,40,4},
{41,42,44,41,40,3,41,2,41,41,41,41,41,0,41,4},
{42,29,44,42,41,3,42,2,42,42,42,42,42,0,42,4},
{43,43,28,43,43,3,43,2,43,43,43,43,43,0,43,4},
{44,44,28,44,44,3,44,2,44,44,44,44,44,0,44,4},
</v>
      </c>
      <c r="C1" s="1" t="s">
        <v>67</v>
      </c>
      <c r="D1" s="1" t="str">
        <f>_xlfn.CONCAT(BD:BD)</f>
        <v xml:space="preserve">{"   e-PAC v1.0   ","&lt;    TESTES    &gt;"},
{"    DEV POR:    ","ANDRE CRESCENZO "},
{"N00000 000:00:00","A0C0+000.0000000"},
{"   e-PAC v1.0   ","&lt;   CALIBRAR   &gt;"},
{"    DESLIGAR    ","&lt;SIM&gt;      &lt;NAO&gt;"},
{"    CALIBRAR    ","&lt;  4..20 LOOP  &gt;"},
{"    CALIBRAR    ","&lt;   VOLTAGEM   &gt;"},
{" ATENCAO! PARE O","DATALOG P/ CALIB"},
{"   4..20 LOOP   ","&lt;      S0      &gt;"},
{"   4..20 LOOP   ","&lt;      S1      &gt;"},
{"   4..20 LOOP   ","&lt;      S2      &gt;"},
{"   4..20 LOOP   ","&lt;      S3      &gt;"},
{"   4..20 LOOP   ","&lt;      S4      &gt;"},
{"   4..20 LOOP   ","&lt;      S5      &gt;"},
{"   4..20 LOOP   ","&lt;      S6      &gt;"},
{"   4..20 LOOP   ","&lt;      S7      &gt;"},
{"NUMERO DE PONTOS","&lt; n=1 2^n+1=000&gt;"},
{"P(000) = 00.000 ","&lt; 000 [OK] 000 &gt;"},
{"+0.000000000@+00","&lt;RUN&gt; &lt;OK&gt; &lt;A00&gt;"},
{" +0.0000 +0.0000"," +0.0000r+0.0000"},
{"    VOLTAGEM    ","&lt;      X0      &gt;"},
{"    VOLTAGEM    ","&lt;      X1      &gt;"},
{"    VOLTAGEM    ","&lt;      X2      &gt;"},
{"    VOLTAGEM    ","&lt;      X3      &gt;"},
{"    VOLTAGEM    ","&lt;      X4      &gt;"},
{"    VOLTAGEM    ","&lt;      X5      &gt;"},
{"    VOLTAGEM    ","&lt;      X6      &gt;"},
{"    VOLTAGEM    ","&lt;      X7      &gt;"},
{"    CALIBRAR    ","&lt;    OPCOES    &gt;"},
{"     OPCOES     ","&lt; LOOP-S0(A/P) &gt;"},
{"     OPCOES     ","&lt; LOOP-S1(A/P) &gt;"},
{"     OPCOES     ","&lt; LOOP-S2(A/P) &gt;"},
{"     OPCOES     ","&lt; LOOP-S3(A/P) &gt;"},
{"     OPCOES     ","&lt; LOOP-S4(A/P) &gt;"},
{"     OPCOES     ","&lt; LOOP-S5(A/P) &gt;"},
{"     OPCOES     ","&lt;VOLT-X0(5/12V)&gt;"},
{"     OPCOES     ","&lt;VOLT-X1(5/12V)&gt;"},
{"     OPCOES     ","&lt;VOLT-X2(5/12V)&gt;"},
{"     OPCOES     ","&lt;VOLT-X3(5/12V)&gt;"},
{"     OPCOES     ","&lt;VOLT-X4(5/12V)&gt;"},
{"     OPCOES     ","&lt;VOLT-X5(5/12V)&gt;"},
{"     OPCOES     ","&lt;VOLT-X6(5/12V)&gt;"},
{"     OPCOES     ","&lt;VOLT-X7(5/12V)&gt;"},
{"  LOOP-S (A/P)  ","  ATIVO   PASS  "},
{" VOLT-X (5/12V) ","  5V      12V   "},
</v>
      </c>
      <c r="E1" s="1" t="s">
        <v>49</v>
      </c>
      <c r="Q1" s="1" t="s">
        <v>7</v>
      </c>
      <c r="R1" s="3" t="s">
        <v>25</v>
      </c>
      <c r="S1" s="3" t="s">
        <v>26</v>
      </c>
      <c r="T1" s="12" t="s">
        <v>27</v>
      </c>
      <c r="U1" s="3" t="s">
        <v>28</v>
      </c>
      <c r="V1" s="3" t="s">
        <v>29</v>
      </c>
      <c r="W1" s="4" t="s">
        <v>30</v>
      </c>
      <c r="X1" s="3" t="s">
        <v>31</v>
      </c>
      <c r="Y1" s="15" t="s">
        <v>32</v>
      </c>
      <c r="Z1" s="3" t="s">
        <v>33</v>
      </c>
      <c r="AA1" s="3" t="s">
        <v>34</v>
      </c>
      <c r="AB1" s="3" t="s">
        <v>35</v>
      </c>
      <c r="AC1" s="3" t="s">
        <v>36</v>
      </c>
      <c r="AD1" s="3" t="s">
        <v>37</v>
      </c>
      <c r="AE1" s="6" t="s">
        <v>38</v>
      </c>
      <c r="AF1" s="3" t="s">
        <v>39</v>
      </c>
      <c r="AG1" s="10" t="s">
        <v>40</v>
      </c>
      <c r="AH1" s="11"/>
      <c r="AI1" s="5"/>
      <c r="AJ1" s="7"/>
      <c r="AK1" s="8"/>
      <c r="AL1" s="9"/>
    </row>
    <row r="2" spans="1:56" ht="18.75" customHeight="1" x14ac:dyDescent="0.25">
      <c r="D2" s="1" t="s">
        <v>9</v>
      </c>
      <c r="E2" s="2" t="s">
        <v>10</v>
      </c>
      <c r="F2" s="1" t="s">
        <v>11</v>
      </c>
      <c r="G2" s="1" t="s">
        <v>12</v>
      </c>
      <c r="H2" s="1" t="s">
        <v>3</v>
      </c>
      <c r="J2" s="1" t="s">
        <v>13</v>
      </c>
      <c r="K2" s="1">
        <v>1</v>
      </c>
      <c r="L2" s="1" t="s">
        <v>4</v>
      </c>
      <c r="M2" s="1">
        <v>0</v>
      </c>
      <c r="P2" s="1" t="s">
        <v>22</v>
      </c>
      <c r="Q2" s="1">
        <v>0</v>
      </c>
      <c r="R2" s="1">
        <v>0</v>
      </c>
      <c r="S2" s="1">
        <v>3</v>
      </c>
      <c r="T2" s="13">
        <v>2</v>
      </c>
      <c r="U2" s="1">
        <v>0</v>
      </c>
      <c r="V2" s="1">
        <v>3</v>
      </c>
      <c r="W2" s="14">
        <v>0</v>
      </c>
      <c r="X2" s="1">
        <v>0</v>
      </c>
      <c r="Y2" s="16">
        <v>2</v>
      </c>
      <c r="Z2" s="1">
        <v>0</v>
      </c>
      <c r="AA2" s="1">
        <v>0</v>
      </c>
      <c r="AB2" s="1">
        <v>4</v>
      </c>
      <c r="AC2" s="1">
        <v>0</v>
      </c>
      <c r="AD2" s="1">
        <v>0</v>
      </c>
      <c r="AE2" s="17">
        <v>1</v>
      </c>
      <c r="AF2" s="1">
        <v>0</v>
      </c>
      <c r="AG2" s="18">
        <v>4</v>
      </c>
      <c r="AH2" t="str">
        <f>"{"&amp;R2&amp;","&amp;S2&amp;","&amp;T2&amp;","&amp;U2&amp;","&amp;V2&amp;","&amp;W2&amp;","&amp;X2&amp;","&amp;Y2&amp;","&amp;Z2&amp;","&amp;AA2&amp;","&amp;AB2&amp;","&amp;AC2&amp;","&amp;AD2&amp;","&amp;AE2&amp;","&amp;AF2&amp;","&amp;AG2&amp;"},"&amp;CHAR(10)</f>
        <v xml:space="preserve">{0,3,2,0,3,0,0,2,0,0,4,0,0,1,0,4},
</v>
      </c>
      <c r="AL2" t="s">
        <v>42</v>
      </c>
      <c r="AM2" s="1" t="str">
        <f>IF(LEN(A2)=1,A2," ")</f>
        <v xml:space="preserve"> </v>
      </c>
      <c r="AN2" s="1" t="str">
        <f t="shared" ref="AN2:BB2" si="0">IF(LEN(B2)=1,B2," ")</f>
        <v xml:space="preserve"> </v>
      </c>
      <c r="AO2" s="1" t="str">
        <f t="shared" si="0"/>
        <v xml:space="preserve"> </v>
      </c>
      <c r="AP2" s="1" t="str">
        <f t="shared" si="0"/>
        <v>e</v>
      </c>
      <c r="AQ2" s="1" t="str">
        <f t="shared" si="0"/>
        <v>-</v>
      </c>
      <c r="AR2" s="1" t="str">
        <f t="shared" si="0"/>
        <v>P</v>
      </c>
      <c r="AS2" s="1" t="str">
        <f t="shared" si="0"/>
        <v>A</v>
      </c>
      <c r="AT2" s="1" t="str">
        <f t="shared" si="0"/>
        <v>C</v>
      </c>
      <c r="AU2" s="1" t="str">
        <f t="shared" si="0"/>
        <v xml:space="preserve"> </v>
      </c>
      <c r="AV2" s="1" t="str">
        <f t="shared" si="0"/>
        <v>v</v>
      </c>
      <c r="AW2" s="1">
        <f t="shared" si="0"/>
        <v>1</v>
      </c>
      <c r="AX2" s="1" t="str">
        <f t="shared" si="0"/>
        <v>.</v>
      </c>
      <c r="AY2" s="1">
        <f t="shared" si="0"/>
        <v>0</v>
      </c>
      <c r="AZ2" s="1" t="str">
        <f t="shared" si="0"/>
        <v xml:space="preserve"> </v>
      </c>
      <c r="BA2" s="1" t="str">
        <f t="shared" si="0"/>
        <v xml:space="preserve"> </v>
      </c>
      <c r="BB2" s="1" t="str">
        <f t="shared" si="0"/>
        <v xml:space="preserve"> </v>
      </c>
      <c r="BC2" t="s">
        <v>43</v>
      </c>
      <c r="BD2" s="1" t="str">
        <f>AL2&amp;AM2&amp;AN2&amp;AO2&amp;AP2&amp;AQ2&amp;AR2&amp;AS2&amp;AT2&amp;AU2&amp;AV2&amp;AW2&amp;AX2&amp;AY2&amp;AZ2&amp;BA2&amp;BB2&amp;BC2&amp;AL3&amp;AM3&amp;AN3&amp;AO3&amp;AP3&amp;AQ3&amp;AR3&amp;AS3&amp;AT3&amp;AU3&amp;AV3&amp;AW3&amp;AX3&amp;AY3&amp;AZ3&amp;BA3&amp;BB3&amp;BC3&amp;CHAR(10)</f>
        <v xml:space="preserve">{"   e-PAC v1.0   ","&lt;    TESTES    &gt;"},
</v>
      </c>
    </row>
    <row r="3" spans="1:56" x14ac:dyDescent="0.25">
      <c r="A3" s="1" t="s">
        <v>14</v>
      </c>
      <c r="F3" s="1" t="s">
        <v>6</v>
      </c>
      <c r="G3" s="1" t="s">
        <v>8</v>
      </c>
      <c r="H3" s="1" t="s">
        <v>2</v>
      </c>
      <c r="I3" s="1" t="s">
        <v>6</v>
      </c>
      <c r="J3" s="1" t="s">
        <v>8</v>
      </c>
      <c r="K3" s="1" t="s">
        <v>2</v>
      </c>
      <c r="P3" s="1" t="s">
        <v>15</v>
      </c>
      <c r="AL3" t="s">
        <v>44</v>
      </c>
      <c r="AM3" s="1" t="str">
        <f>IF(LEN(A3)=1,A3," ")</f>
        <v>&lt;</v>
      </c>
      <c r="AN3" s="1" t="str">
        <f t="shared" ref="AN3:BB3" si="1">IF(LEN(B3)=1,B3," ")</f>
        <v xml:space="preserve"> </v>
      </c>
      <c r="AO3" s="1" t="str">
        <f t="shared" si="1"/>
        <v xml:space="preserve"> </v>
      </c>
      <c r="AP3" s="1" t="str">
        <f t="shared" si="1"/>
        <v xml:space="preserve"> </v>
      </c>
      <c r="AQ3" s="1" t="str">
        <f t="shared" si="1"/>
        <v xml:space="preserve"> </v>
      </c>
      <c r="AR3" s="1" t="str">
        <f t="shared" si="1"/>
        <v>T</v>
      </c>
      <c r="AS3" s="1" t="str">
        <f t="shared" si="1"/>
        <v>E</v>
      </c>
      <c r="AT3" s="1" t="str">
        <f t="shared" si="1"/>
        <v>S</v>
      </c>
      <c r="AU3" s="1" t="str">
        <f t="shared" si="1"/>
        <v>T</v>
      </c>
      <c r="AV3" s="1" t="str">
        <f t="shared" si="1"/>
        <v>E</v>
      </c>
      <c r="AW3" s="1" t="str">
        <f t="shared" si="1"/>
        <v>S</v>
      </c>
      <c r="AX3" s="1" t="str">
        <f t="shared" si="1"/>
        <v xml:space="preserve"> </v>
      </c>
      <c r="AY3" s="1" t="str">
        <f t="shared" si="1"/>
        <v xml:space="preserve"> </v>
      </c>
      <c r="AZ3" s="1" t="str">
        <f t="shared" si="1"/>
        <v xml:space="preserve"> </v>
      </c>
      <c r="BA3" s="1" t="str">
        <f t="shared" si="1"/>
        <v xml:space="preserve"> </v>
      </c>
      <c r="BB3" s="1" t="str">
        <f t="shared" si="1"/>
        <v>&gt;</v>
      </c>
      <c r="BC3" t="s">
        <v>45</v>
      </c>
    </row>
    <row r="5" spans="1:56" x14ac:dyDescent="0.25">
      <c r="E5" s="1" t="s">
        <v>18</v>
      </c>
      <c r="F5" s="1" t="s">
        <v>8</v>
      </c>
      <c r="G5" s="1" t="s">
        <v>5</v>
      </c>
      <c r="I5" s="1" t="s">
        <v>11</v>
      </c>
      <c r="J5" s="1" t="s">
        <v>19</v>
      </c>
      <c r="K5" s="1" t="s">
        <v>16</v>
      </c>
      <c r="L5" s="1" t="s">
        <v>1</v>
      </c>
      <c r="Q5" s="1">
        <v>1</v>
      </c>
      <c r="R5" s="1">
        <v>1</v>
      </c>
      <c r="S5" s="1">
        <v>1</v>
      </c>
      <c r="T5" s="13">
        <v>0</v>
      </c>
      <c r="U5" s="1">
        <v>1</v>
      </c>
      <c r="V5" s="1">
        <v>1</v>
      </c>
      <c r="W5" s="14">
        <v>0</v>
      </c>
      <c r="X5" s="1">
        <v>1</v>
      </c>
      <c r="Y5" s="16">
        <v>2</v>
      </c>
      <c r="Z5" s="1">
        <v>1</v>
      </c>
      <c r="AA5" s="1">
        <v>1</v>
      </c>
      <c r="AB5" s="1">
        <v>1</v>
      </c>
      <c r="AC5" s="1">
        <v>1</v>
      </c>
      <c r="AD5" s="1">
        <v>1</v>
      </c>
      <c r="AE5" s="17">
        <v>0</v>
      </c>
      <c r="AF5" s="1">
        <v>1</v>
      </c>
      <c r="AG5" s="18">
        <v>4</v>
      </c>
      <c r="AH5" t="str">
        <f>"{"&amp;R5&amp;","&amp;S5&amp;","&amp;T5&amp;","&amp;U5&amp;","&amp;V5&amp;","&amp;W5&amp;","&amp;X5&amp;","&amp;Y5&amp;","&amp;Z5&amp;","&amp;AA5&amp;","&amp;AB5&amp;","&amp;AC5&amp;","&amp;AD5&amp;","&amp;AE5&amp;","&amp;AF5&amp;","&amp;AG5&amp;"},"&amp;CHAR(10)</f>
        <v xml:space="preserve">{1,1,0,1,1,0,1,2,1,1,1,1,1,0,1,4},
</v>
      </c>
      <c r="AL5" t="s">
        <v>42</v>
      </c>
      <c r="AM5" s="1" t="str">
        <f t="shared" ref="AM5:BB6" si="2">IF(LEN(A5)=1,A5," ")</f>
        <v xml:space="preserve"> </v>
      </c>
      <c r="AN5" s="1" t="str">
        <f t="shared" si="2"/>
        <v xml:space="preserve"> </v>
      </c>
      <c r="AO5" s="1" t="str">
        <f t="shared" si="2"/>
        <v xml:space="preserve"> </v>
      </c>
      <c r="AP5" s="1" t="str">
        <f t="shared" si="2"/>
        <v xml:space="preserve"> </v>
      </c>
      <c r="AQ5" s="1" t="str">
        <f t="shared" si="2"/>
        <v>D</v>
      </c>
      <c r="AR5" s="1" t="str">
        <f t="shared" si="2"/>
        <v>E</v>
      </c>
      <c r="AS5" s="1" t="str">
        <f t="shared" si="2"/>
        <v>V</v>
      </c>
      <c r="AT5" s="1" t="str">
        <f t="shared" si="2"/>
        <v xml:space="preserve"> </v>
      </c>
      <c r="AU5" s="1" t="str">
        <f t="shared" si="2"/>
        <v>P</v>
      </c>
      <c r="AV5" s="1" t="str">
        <f t="shared" si="2"/>
        <v>O</v>
      </c>
      <c r="AW5" s="1" t="str">
        <f t="shared" si="2"/>
        <v>R</v>
      </c>
      <c r="AX5" s="1" t="str">
        <f t="shared" si="2"/>
        <v>:</v>
      </c>
      <c r="AY5" s="1" t="str">
        <f t="shared" si="2"/>
        <v xml:space="preserve"> </v>
      </c>
      <c r="AZ5" s="1" t="str">
        <f t="shared" si="2"/>
        <v xml:space="preserve"> </v>
      </c>
      <c r="BA5" s="1" t="str">
        <f t="shared" si="2"/>
        <v xml:space="preserve"> </v>
      </c>
      <c r="BB5" s="1" t="str">
        <f t="shared" si="2"/>
        <v xml:space="preserve"> </v>
      </c>
      <c r="BC5" t="s">
        <v>43</v>
      </c>
      <c r="BD5" s="1" t="str">
        <f>AL5&amp;AM5&amp;AN5&amp;AO5&amp;AP5&amp;AQ5&amp;AR5&amp;AS5&amp;AT5&amp;AU5&amp;AV5&amp;AW5&amp;AX5&amp;AY5&amp;AZ5&amp;BA5&amp;BB5&amp;BC5&amp;AL6&amp;AM6&amp;AN6&amp;AO6&amp;AP6&amp;AQ6&amp;AR6&amp;AS6&amp;AT6&amp;AU6&amp;AV6&amp;AW6&amp;AX6&amp;AY6&amp;AZ6&amp;BA6&amp;BB6&amp;BC6&amp;CHAR(10)</f>
        <v xml:space="preserve">{"    DEV POR:    ","ANDRE CRESCENZO "},
</v>
      </c>
    </row>
    <row r="6" spans="1:56" x14ac:dyDescent="0.25">
      <c r="A6" s="1" t="s">
        <v>12</v>
      </c>
      <c r="B6" s="1" t="s">
        <v>0</v>
      </c>
      <c r="C6" s="1" t="s">
        <v>18</v>
      </c>
      <c r="D6" s="1" t="s">
        <v>16</v>
      </c>
      <c r="E6" s="1" t="s">
        <v>8</v>
      </c>
      <c r="G6" s="1" t="s">
        <v>3</v>
      </c>
      <c r="H6" s="1" t="s">
        <v>16</v>
      </c>
      <c r="I6" s="1" t="s">
        <v>8</v>
      </c>
      <c r="J6" s="1" t="s">
        <v>2</v>
      </c>
      <c r="K6" s="1" t="s">
        <v>3</v>
      </c>
      <c r="L6" s="1" t="s">
        <v>8</v>
      </c>
      <c r="M6" s="1" t="s">
        <v>0</v>
      </c>
      <c r="N6" s="1" t="s">
        <v>21</v>
      </c>
      <c r="O6" s="1" t="s">
        <v>19</v>
      </c>
      <c r="AL6" t="s">
        <v>44</v>
      </c>
      <c r="AM6" s="1" t="str">
        <f t="shared" si="2"/>
        <v>A</v>
      </c>
      <c r="AN6" s="1" t="str">
        <f t="shared" si="2"/>
        <v>N</v>
      </c>
      <c r="AO6" s="1" t="str">
        <f t="shared" si="2"/>
        <v>D</v>
      </c>
      <c r="AP6" s="1" t="str">
        <f t="shared" si="2"/>
        <v>R</v>
      </c>
      <c r="AQ6" s="1" t="str">
        <f t="shared" si="2"/>
        <v>E</v>
      </c>
      <c r="AR6" s="1" t="str">
        <f t="shared" si="2"/>
        <v xml:space="preserve"> </v>
      </c>
      <c r="AS6" s="1" t="str">
        <f t="shared" si="2"/>
        <v>C</v>
      </c>
      <c r="AT6" s="1" t="str">
        <f t="shared" si="2"/>
        <v>R</v>
      </c>
      <c r="AU6" s="1" t="str">
        <f t="shared" si="2"/>
        <v>E</v>
      </c>
      <c r="AV6" s="1" t="str">
        <f t="shared" si="2"/>
        <v>S</v>
      </c>
      <c r="AW6" s="1" t="str">
        <f t="shared" si="2"/>
        <v>C</v>
      </c>
      <c r="AX6" s="1" t="str">
        <f t="shared" si="2"/>
        <v>E</v>
      </c>
      <c r="AY6" s="1" t="str">
        <f t="shared" si="2"/>
        <v>N</v>
      </c>
      <c r="AZ6" s="1" t="str">
        <f t="shared" si="2"/>
        <v>Z</v>
      </c>
      <c r="BA6" s="1" t="str">
        <f t="shared" si="2"/>
        <v>O</v>
      </c>
      <c r="BB6" s="1" t="str">
        <f t="shared" si="2"/>
        <v xml:space="preserve"> </v>
      </c>
      <c r="BC6" t="s">
        <v>45</v>
      </c>
    </row>
    <row r="8" spans="1:56" x14ac:dyDescent="0.25">
      <c r="A8" s="1" t="s">
        <v>0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H8" s="1">
        <v>0</v>
      </c>
      <c r="I8" s="1">
        <v>0</v>
      </c>
      <c r="J8" s="1">
        <v>0</v>
      </c>
      <c r="K8" s="1" t="s">
        <v>1</v>
      </c>
      <c r="L8" s="1">
        <v>0</v>
      </c>
      <c r="M8" s="1">
        <v>0</v>
      </c>
      <c r="N8" s="1" t="s">
        <v>1</v>
      </c>
      <c r="O8" s="1">
        <v>0</v>
      </c>
      <c r="P8" s="1">
        <v>0</v>
      </c>
      <c r="Q8" s="1">
        <v>2</v>
      </c>
      <c r="R8" s="1">
        <v>2</v>
      </c>
      <c r="S8" s="1">
        <v>2</v>
      </c>
      <c r="T8" s="13">
        <v>2</v>
      </c>
      <c r="U8" s="1">
        <v>2</v>
      </c>
      <c r="V8" s="1">
        <v>2</v>
      </c>
      <c r="W8" s="14">
        <v>0</v>
      </c>
      <c r="X8" s="1">
        <v>2</v>
      </c>
      <c r="Y8" s="16">
        <v>2</v>
      </c>
      <c r="Z8" s="1">
        <v>2</v>
      </c>
      <c r="AA8" s="1">
        <v>2</v>
      </c>
      <c r="AB8" s="1">
        <v>2</v>
      </c>
      <c r="AC8" s="1">
        <v>2</v>
      </c>
      <c r="AD8" s="1">
        <v>2</v>
      </c>
      <c r="AE8" s="17">
        <v>0</v>
      </c>
      <c r="AF8" s="1">
        <v>0</v>
      </c>
      <c r="AG8" s="18">
        <v>4</v>
      </c>
      <c r="AH8" t="str">
        <f>"{"&amp;R8&amp;","&amp;S8&amp;","&amp;T8&amp;","&amp;U8&amp;","&amp;V8&amp;","&amp;W8&amp;","&amp;X8&amp;","&amp;Y8&amp;","&amp;Z8&amp;","&amp;AA8&amp;","&amp;AB8&amp;","&amp;AC8&amp;","&amp;AD8&amp;","&amp;AE8&amp;","&amp;AF8&amp;","&amp;AG8&amp;"},"&amp;CHAR(10)</f>
        <v xml:space="preserve">{2,2,2,2,2,0,2,2,2,2,2,2,2,0,0,4},
</v>
      </c>
      <c r="AL8" t="s">
        <v>42</v>
      </c>
      <c r="AM8" s="1" t="str">
        <f t="shared" ref="AM8:BB9" si="3">IF(LEN(A8)=1,A8," ")</f>
        <v>N</v>
      </c>
      <c r="AN8" s="1">
        <f t="shared" si="3"/>
        <v>0</v>
      </c>
      <c r="AO8" s="1">
        <f t="shared" si="3"/>
        <v>0</v>
      </c>
      <c r="AP8" s="1">
        <f t="shared" si="3"/>
        <v>0</v>
      </c>
      <c r="AQ8" s="1">
        <f t="shared" si="3"/>
        <v>0</v>
      </c>
      <c r="AR8" s="1">
        <f t="shared" si="3"/>
        <v>0</v>
      </c>
      <c r="AS8" s="1" t="str">
        <f t="shared" si="3"/>
        <v xml:space="preserve"> </v>
      </c>
      <c r="AT8" s="1">
        <f t="shared" si="3"/>
        <v>0</v>
      </c>
      <c r="AU8" s="1">
        <f t="shared" si="3"/>
        <v>0</v>
      </c>
      <c r="AV8" s="1">
        <f t="shared" si="3"/>
        <v>0</v>
      </c>
      <c r="AW8" s="1" t="str">
        <f t="shared" si="3"/>
        <v>:</v>
      </c>
      <c r="AX8" s="1">
        <f t="shared" si="3"/>
        <v>0</v>
      </c>
      <c r="AY8" s="1">
        <f t="shared" si="3"/>
        <v>0</v>
      </c>
      <c r="AZ8" s="1" t="str">
        <f t="shared" si="3"/>
        <v>:</v>
      </c>
      <c r="BA8" s="1">
        <f t="shared" si="3"/>
        <v>0</v>
      </c>
      <c r="BB8" s="1">
        <f t="shared" si="3"/>
        <v>0</v>
      </c>
      <c r="BC8" t="s">
        <v>43</v>
      </c>
      <c r="BD8" s="1" t="str">
        <f>AL8&amp;AM8&amp;AN8&amp;AO8&amp;AP8&amp;AQ8&amp;AR8&amp;AS8&amp;AT8&amp;AU8&amp;AV8&amp;AW8&amp;AX8&amp;AY8&amp;AZ8&amp;BA8&amp;BB8&amp;BC8&amp;AL9&amp;AM9&amp;AN9&amp;AO9&amp;AP9&amp;AQ9&amp;AR9&amp;AS9&amp;AT9&amp;AU9&amp;AV9&amp;AW9&amp;AX9&amp;AY9&amp;AZ9&amp;BA9&amp;BB9&amp;BC9&amp;CHAR(10)</f>
        <v xml:space="preserve">{"N00000 000:00:00","A0C0+000.0000000"},
</v>
      </c>
    </row>
    <row r="9" spans="1:56" x14ac:dyDescent="0.25">
      <c r="A9" s="1" t="s">
        <v>12</v>
      </c>
      <c r="B9" s="1">
        <v>0</v>
      </c>
      <c r="C9" s="1" t="s">
        <v>3</v>
      </c>
      <c r="D9" s="1">
        <v>0</v>
      </c>
      <c r="E9" s="1" t="s">
        <v>54</v>
      </c>
      <c r="F9" s="1">
        <v>0</v>
      </c>
      <c r="G9" s="1">
        <v>0</v>
      </c>
      <c r="H9" s="1">
        <v>0</v>
      </c>
      <c r="I9" s="1" t="s">
        <v>4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AL9" t="s">
        <v>44</v>
      </c>
      <c r="AM9" s="1" t="str">
        <f t="shared" si="3"/>
        <v>A</v>
      </c>
      <c r="AN9" s="1">
        <f t="shared" si="3"/>
        <v>0</v>
      </c>
      <c r="AO9" s="1" t="str">
        <f t="shared" si="3"/>
        <v>C</v>
      </c>
      <c r="AP9" s="1">
        <f t="shared" si="3"/>
        <v>0</v>
      </c>
      <c r="AQ9" s="1" t="str">
        <f t="shared" si="3"/>
        <v>+</v>
      </c>
      <c r="AR9" s="1">
        <f t="shared" si="3"/>
        <v>0</v>
      </c>
      <c r="AS9" s="1">
        <f t="shared" si="3"/>
        <v>0</v>
      </c>
      <c r="AT9" s="1">
        <f t="shared" si="3"/>
        <v>0</v>
      </c>
      <c r="AU9" s="1" t="str">
        <f t="shared" si="3"/>
        <v>.</v>
      </c>
      <c r="AV9" s="1">
        <f t="shared" si="3"/>
        <v>0</v>
      </c>
      <c r="AW9" s="1">
        <f t="shared" si="3"/>
        <v>0</v>
      </c>
      <c r="AX9" s="1">
        <f t="shared" si="3"/>
        <v>0</v>
      </c>
      <c r="AY9" s="1">
        <f t="shared" si="3"/>
        <v>0</v>
      </c>
      <c r="AZ9" s="1">
        <f t="shared" si="3"/>
        <v>0</v>
      </c>
      <c r="BA9" s="1">
        <f t="shared" si="3"/>
        <v>0</v>
      </c>
      <c r="BB9" s="1">
        <f t="shared" si="3"/>
        <v>0</v>
      </c>
      <c r="BC9" t="s">
        <v>45</v>
      </c>
    </row>
    <row r="11" spans="1:56" x14ac:dyDescent="0.25">
      <c r="D11" s="1" t="s">
        <v>9</v>
      </c>
      <c r="E11" s="2" t="s">
        <v>10</v>
      </c>
      <c r="F11" s="1" t="s">
        <v>11</v>
      </c>
      <c r="G11" s="1" t="s">
        <v>12</v>
      </c>
      <c r="H11" s="1" t="s">
        <v>3</v>
      </c>
      <c r="J11" s="1" t="s">
        <v>13</v>
      </c>
      <c r="K11" s="1">
        <v>1</v>
      </c>
      <c r="L11" s="1" t="s">
        <v>4</v>
      </c>
      <c r="M11" s="1">
        <v>0</v>
      </c>
      <c r="P11" s="1" t="s">
        <v>22</v>
      </c>
      <c r="Q11" s="1">
        <v>3</v>
      </c>
      <c r="R11" s="1">
        <v>3</v>
      </c>
      <c r="S11" s="1">
        <v>0</v>
      </c>
      <c r="T11" s="13">
        <v>5</v>
      </c>
      <c r="U11" s="1">
        <v>3</v>
      </c>
      <c r="V11" s="1">
        <v>0</v>
      </c>
      <c r="W11" s="14">
        <v>3</v>
      </c>
      <c r="X11" s="1">
        <v>3</v>
      </c>
      <c r="Y11" s="16">
        <v>2</v>
      </c>
      <c r="Z11" s="1">
        <v>3</v>
      </c>
      <c r="AA11" s="1">
        <v>3</v>
      </c>
      <c r="AB11" s="1">
        <v>4</v>
      </c>
      <c r="AC11" s="1">
        <v>3</v>
      </c>
      <c r="AD11" s="1">
        <v>3</v>
      </c>
      <c r="AE11" s="17">
        <v>1</v>
      </c>
      <c r="AF11" s="1">
        <v>3</v>
      </c>
      <c r="AG11" s="18">
        <v>4</v>
      </c>
      <c r="AH11" t="str">
        <f>"{"&amp;R11&amp;","&amp;S11&amp;","&amp;T11&amp;","&amp;U11&amp;","&amp;V11&amp;","&amp;W11&amp;","&amp;X11&amp;","&amp;Y11&amp;","&amp;Z11&amp;","&amp;AA11&amp;","&amp;AB11&amp;","&amp;AC11&amp;","&amp;AD11&amp;","&amp;AE11&amp;","&amp;AF11&amp;","&amp;AG11&amp;"},"&amp;CHAR(10)</f>
        <v xml:space="preserve">{3,0,5,3,0,3,3,2,3,3,4,3,3,1,3,4},
</v>
      </c>
      <c r="AL11" t="s">
        <v>42</v>
      </c>
      <c r="AM11" s="1" t="str">
        <f t="shared" ref="AM11:BB12" si="4">IF(LEN(A11)=1,A11," ")</f>
        <v xml:space="preserve"> </v>
      </c>
      <c r="AN11" s="1" t="str">
        <f t="shared" si="4"/>
        <v xml:space="preserve"> </v>
      </c>
      <c r="AO11" s="1" t="str">
        <f t="shared" si="4"/>
        <v xml:space="preserve"> </v>
      </c>
      <c r="AP11" s="1" t="str">
        <f t="shared" si="4"/>
        <v>e</v>
      </c>
      <c r="AQ11" s="1" t="str">
        <f t="shared" si="4"/>
        <v>-</v>
      </c>
      <c r="AR11" s="1" t="str">
        <f t="shared" si="4"/>
        <v>P</v>
      </c>
      <c r="AS11" s="1" t="str">
        <f t="shared" si="4"/>
        <v>A</v>
      </c>
      <c r="AT11" s="1" t="str">
        <f t="shared" si="4"/>
        <v>C</v>
      </c>
      <c r="AU11" s="1" t="str">
        <f t="shared" si="4"/>
        <v xml:space="preserve"> </v>
      </c>
      <c r="AV11" s="1" t="str">
        <f t="shared" si="4"/>
        <v>v</v>
      </c>
      <c r="AW11" s="1">
        <f t="shared" si="4"/>
        <v>1</v>
      </c>
      <c r="AX11" s="1" t="str">
        <f t="shared" si="4"/>
        <v>.</v>
      </c>
      <c r="AY11" s="1">
        <f t="shared" si="4"/>
        <v>0</v>
      </c>
      <c r="AZ11" s="1" t="str">
        <f t="shared" si="4"/>
        <v xml:space="preserve"> </v>
      </c>
      <c r="BA11" s="1" t="str">
        <f t="shared" si="4"/>
        <v xml:space="preserve"> </v>
      </c>
      <c r="BB11" s="1" t="str">
        <f t="shared" si="4"/>
        <v xml:space="preserve"> </v>
      </c>
      <c r="BC11" t="s">
        <v>43</v>
      </c>
      <c r="BD11" s="1" t="str">
        <f>AL11&amp;AM11&amp;AN11&amp;AO11&amp;AP11&amp;AQ11&amp;AR11&amp;AS11&amp;AT11&amp;AU11&amp;AV11&amp;AW11&amp;AX11&amp;AY11&amp;AZ11&amp;BA11&amp;BB11&amp;BC11&amp;AL12&amp;AM12&amp;AN12&amp;AO12&amp;AP12&amp;AQ12&amp;AR12&amp;AS12&amp;AT12&amp;AU12&amp;AV12&amp;AW12&amp;AX12&amp;AY12&amp;AZ12&amp;BA12&amp;BB12&amp;BC12&amp;CHAR(10)</f>
        <v xml:space="preserve">{"   e-PAC v1.0   ","&lt;   CALIBRAR   &gt;"},
</v>
      </c>
    </row>
    <row r="12" spans="1:56" x14ac:dyDescent="0.25">
      <c r="A12" s="1" t="s">
        <v>14</v>
      </c>
      <c r="E12" s="1" t="s">
        <v>3</v>
      </c>
      <c r="F12" s="1" t="s">
        <v>12</v>
      </c>
      <c r="G12" s="1" t="s">
        <v>23</v>
      </c>
      <c r="H12" s="1" t="s">
        <v>17</v>
      </c>
      <c r="I12" s="1" t="s">
        <v>20</v>
      </c>
      <c r="J12" s="1" t="s">
        <v>16</v>
      </c>
      <c r="K12" s="1" t="s">
        <v>12</v>
      </c>
      <c r="L12" s="1" t="s">
        <v>16</v>
      </c>
      <c r="P12" s="1" t="s">
        <v>15</v>
      </c>
      <c r="AL12" t="s">
        <v>44</v>
      </c>
      <c r="AM12" s="1" t="str">
        <f t="shared" si="4"/>
        <v>&lt;</v>
      </c>
      <c r="AN12" s="1" t="str">
        <f t="shared" si="4"/>
        <v xml:space="preserve"> </v>
      </c>
      <c r="AO12" s="1" t="str">
        <f t="shared" si="4"/>
        <v xml:space="preserve"> </v>
      </c>
      <c r="AP12" s="1" t="str">
        <f t="shared" si="4"/>
        <v xml:space="preserve"> </v>
      </c>
      <c r="AQ12" s="1" t="str">
        <f t="shared" si="4"/>
        <v>C</v>
      </c>
      <c r="AR12" s="1" t="str">
        <f t="shared" si="4"/>
        <v>A</v>
      </c>
      <c r="AS12" s="1" t="str">
        <f t="shared" si="4"/>
        <v>L</v>
      </c>
      <c r="AT12" s="1" t="str">
        <f t="shared" si="4"/>
        <v>I</v>
      </c>
      <c r="AU12" s="1" t="str">
        <f t="shared" si="4"/>
        <v>B</v>
      </c>
      <c r="AV12" s="1" t="str">
        <f t="shared" si="4"/>
        <v>R</v>
      </c>
      <c r="AW12" s="1" t="str">
        <f t="shared" si="4"/>
        <v>A</v>
      </c>
      <c r="AX12" s="1" t="str">
        <f t="shared" si="4"/>
        <v>R</v>
      </c>
      <c r="AY12" s="1" t="str">
        <f t="shared" si="4"/>
        <v xml:space="preserve"> </v>
      </c>
      <c r="AZ12" s="1" t="str">
        <f t="shared" si="4"/>
        <v xml:space="preserve"> </v>
      </c>
      <c r="BA12" s="1" t="str">
        <f t="shared" si="4"/>
        <v xml:space="preserve"> </v>
      </c>
      <c r="BB12" s="1" t="str">
        <f t="shared" si="4"/>
        <v>&gt;</v>
      </c>
      <c r="BC12" t="s">
        <v>45</v>
      </c>
    </row>
    <row r="14" spans="1:56" x14ac:dyDescent="0.25">
      <c r="E14" s="1" t="s">
        <v>18</v>
      </c>
      <c r="F14" s="2" t="s">
        <v>8</v>
      </c>
      <c r="G14" s="1" t="s">
        <v>2</v>
      </c>
      <c r="H14" s="1" t="s">
        <v>23</v>
      </c>
      <c r="I14" s="1" t="s">
        <v>17</v>
      </c>
      <c r="J14" s="1" t="s">
        <v>24</v>
      </c>
      <c r="K14" s="1" t="s">
        <v>12</v>
      </c>
      <c r="L14" s="1" t="s">
        <v>16</v>
      </c>
      <c r="Q14" s="1">
        <v>4</v>
      </c>
      <c r="R14" s="1">
        <v>4</v>
      </c>
      <c r="S14" s="1">
        <v>1</v>
      </c>
      <c r="T14" s="13">
        <v>4</v>
      </c>
      <c r="U14" s="1">
        <v>4</v>
      </c>
      <c r="V14" s="1">
        <v>0</v>
      </c>
      <c r="W14" s="14">
        <v>0</v>
      </c>
      <c r="X14" s="1">
        <v>4</v>
      </c>
      <c r="Y14" s="16">
        <v>2</v>
      </c>
      <c r="Z14" s="1">
        <v>4</v>
      </c>
      <c r="AA14" s="1">
        <v>4</v>
      </c>
      <c r="AB14" s="1">
        <v>4</v>
      </c>
      <c r="AC14" s="1">
        <v>4</v>
      </c>
      <c r="AD14" s="1">
        <v>4</v>
      </c>
      <c r="AE14" s="17">
        <v>0</v>
      </c>
      <c r="AF14" s="1">
        <v>4</v>
      </c>
      <c r="AG14" s="18">
        <v>4</v>
      </c>
      <c r="AH14" t="str">
        <f>"{"&amp;R14&amp;","&amp;S14&amp;","&amp;T14&amp;","&amp;U14&amp;","&amp;V14&amp;","&amp;W14&amp;","&amp;X14&amp;","&amp;Y14&amp;","&amp;Z14&amp;","&amp;AA14&amp;","&amp;AB14&amp;","&amp;AC14&amp;","&amp;AD14&amp;","&amp;AE14&amp;","&amp;AF14&amp;","&amp;AG14&amp;"},"&amp;CHAR(10)</f>
        <v xml:space="preserve">{4,1,4,4,0,0,4,2,4,4,4,4,4,0,4,4},
</v>
      </c>
      <c r="AL14" t="s">
        <v>42</v>
      </c>
      <c r="AM14" s="1" t="str">
        <f t="shared" ref="AM14:BB15" si="5">IF(LEN(A14)=1,A14," ")</f>
        <v xml:space="preserve"> </v>
      </c>
      <c r="AN14" s="1" t="str">
        <f t="shared" si="5"/>
        <v xml:space="preserve"> </v>
      </c>
      <c r="AO14" s="1" t="str">
        <f t="shared" si="5"/>
        <v xml:space="preserve"> </v>
      </c>
      <c r="AP14" s="1" t="str">
        <f t="shared" si="5"/>
        <v xml:space="preserve"> </v>
      </c>
      <c r="AQ14" s="1" t="str">
        <f t="shared" si="5"/>
        <v>D</v>
      </c>
      <c r="AR14" s="1" t="str">
        <f t="shared" si="5"/>
        <v>E</v>
      </c>
      <c r="AS14" s="1" t="str">
        <f t="shared" si="5"/>
        <v>S</v>
      </c>
      <c r="AT14" s="1" t="str">
        <f t="shared" si="5"/>
        <v>L</v>
      </c>
      <c r="AU14" s="1" t="str">
        <f t="shared" si="5"/>
        <v>I</v>
      </c>
      <c r="AV14" s="1" t="str">
        <f t="shared" si="5"/>
        <v>G</v>
      </c>
      <c r="AW14" s="1" t="str">
        <f t="shared" si="5"/>
        <v>A</v>
      </c>
      <c r="AX14" s="1" t="str">
        <f t="shared" si="5"/>
        <v>R</v>
      </c>
      <c r="AY14" s="1" t="str">
        <f t="shared" si="5"/>
        <v xml:space="preserve"> </v>
      </c>
      <c r="AZ14" s="1" t="str">
        <f t="shared" si="5"/>
        <v xml:space="preserve"> </v>
      </c>
      <c r="BA14" s="1" t="str">
        <f t="shared" si="5"/>
        <v xml:space="preserve"> </v>
      </c>
      <c r="BB14" s="1" t="str">
        <f t="shared" si="5"/>
        <v xml:space="preserve"> </v>
      </c>
      <c r="BC14" t="s">
        <v>43</v>
      </c>
      <c r="BD14" s="1" t="str">
        <f>AL14&amp;AM14&amp;AN14&amp;AO14&amp;AP14&amp;AQ14&amp;AR14&amp;AS14&amp;AT14&amp;AU14&amp;AV14&amp;AW14&amp;AX14&amp;AY14&amp;AZ14&amp;BA14&amp;BB14&amp;BC14&amp;AL15&amp;AM15&amp;AN15&amp;AO15&amp;AP15&amp;AQ15&amp;AR15&amp;AS15&amp;AT15&amp;AU15&amp;AV15&amp;AW15&amp;AX15&amp;AY15&amp;AZ15&amp;BA15&amp;BB15&amp;BC15&amp;CHAR(10)</f>
        <v xml:space="preserve">{"    DESLIGAR    ","&lt;SIM&gt;      &lt;NAO&gt;"},
</v>
      </c>
    </row>
    <row r="15" spans="1:56" x14ac:dyDescent="0.25">
      <c r="A15" s="1" t="s">
        <v>14</v>
      </c>
      <c r="B15" s="1" t="s">
        <v>2</v>
      </c>
      <c r="C15" s="1" t="s">
        <v>17</v>
      </c>
      <c r="D15" s="1" t="s">
        <v>41</v>
      </c>
      <c r="E15" s="1" t="s">
        <v>15</v>
      </c>
      <c r="L15" s="1" t="s">
        <v>14</v>
      </c>
      <c r="M15" s="1" t="s">
        <v>0</v>
      </c>
      <c r="N15" s="1" t="s">
        <v>12</v>
      </c>
      <c r="O15" s="1" t="s">
        <v>19</v>
      </c>
      <c r="P15" s="1" t="s">
        <v>15</v>
      </c>
      <c r="AL15" t="s">
        <v>44</v>
      </c>
      <c r="AM15" s="1" t="str">
        <f t="shared" si="5"/>
        <v>&lt;</v>
      </c>
      <c r="AN15" s="1" t="str">
        <f t="shared" si="5"/>
        <v>S</v>
      </c>
      <c r="AO15" s="1" t="str">
        <f t="shared" si="5"/>
        <v>I</v>
      </c>
      <c r="AP15" s="1" t="str">
        <f t="shared" si="5"/>
        <v>M</v>
      </c>
      <c r="AQ15" s="1" t="str">
        <f t="shared" si="5"/>
        <v>&gt;</v>
      </c>
      <c r="AR15" s="1" t="str">
        <f t="shared" si="5"/>
        <v xml:space="preserve"> </v>
      </c>
      <c r="AS15" s="1" t="str">
        <f t="shared" si="5"/>
        <v xml:space="preserve"> </v>
      </c>
      <c r="AT15" s="1" t="str">
        <f t="shared" si="5"/>
        <v xml:space="preserve"> </v>
      </c>
      <c r="AU15" s="1" t="str">
        <f t="shared" si="5"/>
        <v xml:space="preserve"> </v>
      </c>
      <c r="AV15" s="1" t="str">
        <f t="shared" si="5"/>
        <v xml:space="preserve"> </v>
      </c>
      <c r="AW15" s="1" t="str">
        <f t="shared" si="5"/>
        <v xml:space="preserve"> </v>
      </c>
      <c r="AX15" s="1" t="str">
        <f t="shared" si="5"/>
        <v>&lt;</v>
      </c>
      <c r="AY15" s="1" t="str">
        <f t="shared" si="5"/>
        <v>N</v>
      </c>
      <c r="AZ15" s="1" t="str">
        <f t="shared" si="5"/>
        <v>A</v>
      </c>
      <c r="BA15" s="1" t="str">
        <f t="shared" si="5"/>
        <v>O</v>
      </c>
      <c r="BB15" s="1" t="str">
        <f t="shared" si="5"/>
        <v>&gt;</v>
      </c>
      <c r="BC15" t="s">
        <v>45</v>
      </c>
    </row>
    <row r="17" spans="1:56" x14ac:dyDescent="0.25">
      <c r="E17" s="1" t="s">
        <v>3</v>
      </c>
      <c r="F17" s="1" t="s">
        <v>12</v>
      </c>
      <c r="G17" s="1" t="s">
        <v>23</v>
      </c>
      <c r="H17" s="1" t="s">
        <v>17</v>
      </c>
      <c r="I17" s="1" t="s">
        <v>20</v>
      </c>
      <c r="J17" s="1" t="s">
        <v>16</v>
      </c>
      <c r="K17" s="1" t="s">
        <v>12</v>
      </c>
      <c r="L17" s="1" t="s">
        <v>16</v>
      </c>
      <c r="Q17" s="1">
        <v>5</v>
      </c>
      <c r="R17" s="1">
        <v>5</v>
      </c>
      <c r="S17" s="1">
        <v>6</v>
      </c>
      <c r="T17" s="13">
        <v>8</v>
      </c>
      <c r="U17" s="1">
        <v>5</v>
      </c>
      <c r="V17" s="1">
        <v>28</v>
      </c>
      <c r="W17" s="14">
        <v>3</v>
      </c>
      <c r="X17" s="1">
        <v>5</v>
      </c>
      <c r="Y17" s="16">
        <v>2</v>
      </c>
      <c r="Z17" s="1">
        <v>5</v>
      </c>
      <c r="AA17" s="1">
        <v>5</v>
      </c>
      <c r="AB17" s="1">
        <v>5</v>
      </c>
      <c r="AC17" s="1">
        <v>5</v>
      </c>
      <c r="AD17" s="1">
        <v>5</v>
      </c>
      <c r="AE17" s="17">
        <v>0</v>
      </c>
      <c r="AF17" s="1">
        <v>5</v>
      </c>
      <c r="AG17" s="18">
        <v>4</v>
      </c>
      <c r="AH17" t="str">
        <f>"{"&amp;R17&amp;","&amp;S17&amp;","&amp;T17&amp;","&amp;U17&amp;","&amp;V17&amp;","&amp;W17&amp;","&amp;X17&amp;","&amp;Y17&amp;","&amp;Z17&amp;","&amp;AA17&amp;","&amp;AB17&amp;","&amp;AC17&amp;","&amp;AD17&amp;","&amp;AE17&amp;","&amp;AF17&amp;","&amp;AG17&amp;"},"&amp;CHAR(10)</f>
        <v xml:space="preserve">{5,6,8,5,28,3,5,2,5,5,5,5,5,0,5,4},
</v>
      </c>
      <c r="AL17" t="s">
        <v>42</v>
      </c>
      <c r="AM17" s="1" t="str">
        <f t="shared" ref="AM17:BB17" si="6">IF(LEN(A17)=1,A17," ")</f>
        <v xml:space="preserve"> </v>
      </c>
      <c r="AN17" s="1" t="str">
        <f t="shared" si="6"/>
        <v xml:space="preserve"> </v>
      </c>
      <c r="AO17" s="1" t="str">
        <f t="shared" si="6"/>
        <v xml:space="preserve"> </v>
      </c>
      <c r="AP17" s="1" t="str">
        <f t="shared" si="6"/>
        <v xml:space="preserve"> </v>
      </c>
      <c r="AQ17" s="1" t="str">
        <f t="shared" si="6"/>
        <v>C</v>
      </c>
      <c r="AR17" s="1" t="str">
        <f t="shared" si="6"/>
        <v>A</v>
      </c>
      <c r="AS17" s="1" t="str">
        <f t="shared" si="6"/>
        <v>L</v>
      </c>
      <c r="AT17" s="1" t="str">
        <f t="shared" si="6"/>
        <v>I</v>
      </c>
      <c r="AU17" s="1" t="str">
        <f t="shared" si="6"/>
        <v>B</v>
      </c>
      <c r="AV17" s="1" t="str">
        <f t="shared" si="6"/>
        <v>R</v>
      </c>
      <c r="AW17" s="1" t="str">
        <f t="shared" si="6"/>
        <v>A</v>
      </c>
      <c r="AX17" s="1" t="str">
        <f t="shared" si="6"/>
        <v>R</v>
      </c>
      <c r="AY17" s="1" t="str">
        <f t="shared" si="6"/>
        <v xml:space="preserve"> </v>
      </c>
      <c r="AZ17" s="1" t="str">
        <f t="shared" si="6"/>
        <v xml:space="preserve"> </v>
      </c>
      <c r="BA17" s="1" t="str">
        <f t="shared" si="6"/>
        <v xml:space="preserve"> </v>
      </c>
      <c r="BB17" s="1" t="str">
        <f t="shared" si="6"/>
        <v xml:space="preserve"> </v>
      </c>
      <c r="BC17" t="s">
        <v>43</v>
      </c>
      <c r="BD17" s="1" t="str">
        <f>AL17&amp;AM17&amp;AN17&amp;AO17&amp;AP17&amp;AQ17&amp;AR17&amp;AS17&amp;AT17&amp;AU17&amp;AV17&amp;AW17&amp;AX17&amp;AY17&amp;AZ17&amp;BA17&amp;BB17&amp;BC17&amp;AL18&amp;AM18&amp;AN18&amp;AO18&amp;AP18&amp;AQ18&amp;AR18&amp;AS18&amp;AT18&amp;AU18&amp;AV18&amp;AW18&amp;AX18&amp;AY18&amp;AZ18&amp;BA18&amp;BB18&amp;BC18&amp;CHAR(10)</f>
        <v xml:space="preserve">{"    CALIBRAR    ","&lt;  4..20 LOOP  &gt;"},
</v>
      </c>
    </row>
    <row r="18" spans="1:56" x14ac:dyDescent="0.25">
      <c r="A18" s="1" t="s">
        <v>14</v>
      </c>
      <c r="D18" s="1">
        <v>4</v>
      </c>
      <c r="E18" s="1" t="s">
        <v>4</v>
      </c>
      <c r="F18" s="1" t="s">
        <v>4</v>
      </c>
      <c r="G18" s="1">
        <v>2</v>
      </c>
      <c r="H18" s="1">
        <v>0</v>
      </c>
      <c r="J18" s="1" t="s">
        <v>23</v>
      </c>
      <c r="K18" s="1" t="s">
        <v>19</v>
      </c>
      <c r="L18" s="1" t="s">
        <v>19</v>
      </c>
      <c r="M18" s="1" t="s">
        <v>11</v>
      </c>
      <c r="P18" s="1" t="s">
        <v>15</v>
      </c>
      <c r="AL18" t="s">
        <v>44</v>
      </c>
      <c r="AM18" s="1" t="str">
        <f>IF(LEN(A18)=1,A18," ")</f>
        <v>&lt;</v>
      </c>
      <c r="AN18" s="1" t="str">
        <f>IF(LEN(B18)=1,B18," ")</f>
        <v xml:space="preserve"> </v>
      </c>
      <c r="AO18" s="1" t="str">
        <f>IF(LEN(C18)=1,C18," ")</f>
        <v xml:space="preserve"> </v>
      </c>
      <c r="AP18" s="1">
        <f>IF(LEN(D18)=1,D18," ")</f>
        <v>4</v>
      </c>
      <c r="AQ18" s="1" t="str">
        <f t="shared" ref="AQ18:BA18" si="7">IF(LEN(E18)=1,E18," ")</f>
        <v>.</v>
      </c>
      <c r="AR18" s="1" t="str">
        <f t="shared" si="7"/>
        <v>.</v>
      </c>
      <c r="AS18" s="1">
        <f t="shared" si="7"/>
        <v>2</v>
      </c>
      <c r="AT18" s="1">
        <f t="shared" si="7"/>
        <v>0</v>
      </c>
      <c r="AU18" s="1" t="str">
        <f t="shared" si="7"/>
        <v xml:space="preserve"> </v>
      </c>
      <c r="AV18" s="1" t="str">
        <f t="shared" si="7"/>
        <v>L</v>
      </c>
      <c r="AW18" s="1" t="str">
        <f t="shared" si="7"/>
        <v>O</v>
      </c>
      <c r="AX18" s="1" t="str">
        <f t="shared" si="7"/>
        <v>O</v>
      </c>
      <c r="AY18" s="1" t="str">
        <f t="shared" si="7"/>
        <v>P</v>
      </c>
      <c r="AZ18" s="1" t="str">
        <f t="shared" si="7"/>
        <v xml:space="preserve"> </v>
      </c>
      <c r="BA18" s="1" t="str">
        <f t="shared" si="7"/>
        <v xml:space="preserve"> </v>
      </c>
      <c r="BB18" s="1" t="str">
        <f>IF(LEN(P18)=1,P18," ")</f>
        <v>&gt;</v>
      </c>
      <c r="BC18" t="s">
        <v>45</v>
      </c>
    </row>
    <row r="20" spans="1:56" x14ac:dyDescent="0.25">
      <c r="E20" s="1" t="s">
        <v>3</v>
      </c>
      <c r="F20" s="1" t="s">
        <v>12</v>
      </c>
      <c r="G20" s="1" t="s">
        <v>23</v>
      </c>
      <c r="H20" s="1" t="s">
        <v>17</v>
      </c>
      <c r="I20" s="1" t="s">
        <v>20</v>
      </c>
      <c r="J20" s="1" t="s">
        <v>16</v>
      </c>
      <c r="K20" s="1" t="s">
        <v>12</v>
      </c>
      <c r="L20" s="1" t="s">
        <v>16</v>
      </c>
      <c r="Q20" s="1">
        <v>6</v>
      </c>
      <c r="R20" s="1">
        <v>6</v>
      </c>
      <c r="S20" s="1">
        <v>28</v>
      </c>
      <c r="T20" s="13">
        <v>20</v>
      </c>
      <c r="U20" s="1">
        <v>6</v>
      </c>
      <c r="V20" s="1">
        <v>5</v>
      </c>
      <c r="W20" s="14">
        <v>3</v>
      </c>
      <c r="X20" s="1">
        <v>6</v>
      </c>
      <c r="Y20" s="16">
        <v>2</v>
      </c>
      <c r="Z20" s="1">
        <v>6</v>
      </c>
      <c r="AA20" s="1">
        <v>6</v>
      </c>
      <c r="AB20" s="1">
        <v>6</v>
      </c>
      <c r="AC20" s="1">
        <v>6</v>
      </c>
      <c r="AD20" s="1">
        <v>6</v>
      </c>
      <c r="AE20" s="17">
        <v>0</v>
      </c>
      <c r="AF20" s="1">
        <v>6</v>
      </c>
      <c r="AG20" s="18">
        <v>4</v>
      </c>
      <c r="AH20" t="str">
        <f>"{"&amp;R20&amp;","&amp;S20&amp;","&amp;T20&amp;","&amp;U20&amp;","&amp;V20&amp;","&amp;W20&amp;","&amp;X20&amp;","&amp;Y20&amp;","&amp;Z20&amp;","&amp;AA20&amp;","&amp;AB20&amp;","&amp;AC20&amp;","&amp;AD20&amp;","&amp;AE20&amp;","&amp;AF20&amp;","&amp;AG20&amp;"},"&amp;CHAR(10)</f>
        <v xml:space="preserve">{6,28,20,6,5,3,6,2,6,6,6,6,6,0,6,4},
</v>
      </c>
      <c r="AL20" t="s">
        <v>42</v>
      </c>
      <c r="AM20" s="1" t="str">
        <f t="shared" ref="AM20:BB21" si="8">IF(LEN(A20)=1,A20," ")</f>
        <v xml:space="preserve"> </v>
      </c>
      <c r="AN20" s="1" t="str">
        <f t="shared" si="8"/>
        <v xml:space="preserve"> </v>
      </c>
      <c r="AO20" s="1" t="str">
        <f t="shared" si="8"/>
        <v xml:space="preserve"> </v>
      </c>
      <c r="AP20" s="1" t="str">
        <f t="shared" si="8"/>
        <v xml:space="preserve"> </v>
      </c>
      <c r="AQ20" s="1" t="str">
        <f t="shared" si="8"/>
        <v>C</v>
      </c>
      <c r="AR20" s="1" t="str">
        <f t="shared" si="8"/>
        <v>A</v>
      </c>
      <c r="AS20" s="1" t="str">
        <f t="shared" si="8"/>
        <v>L</v>
      </c>
      <c r="AT20" s="1" t="str">
        <f t="shared" si="8"/>
        <v>I</v>
      </c>
      <c r="AU20" s="1" t="str">
        <f t="shared" si="8"/>
        <v>B</v>
      </c>
      <c r="AV20" s="1" t="str">
        <f t="shared" si="8"/>
        <v>R</v>
      </c>
      <c r="AW20" s="1" t="str">
        <f t="shared" si="8"/>
        <v>A</v>
      </c>
      <c r="AX20" s="1" t="str">
        <f t="shared" si="8"/>
        <v>R</v>
      </c>
      <c r="AY20" s="1" t="str">
        <f t="shared" si="8"/>
        <v xml:space="preserve"> </v>
      </c>
      <c r="AZ20" s="1" t="str">
        <f t="shared" si="8"/>
        <v xml:space="preserve"> </v>
      </c>
      <c r="BA20" s="1" t="str">
        <f t="shared" si="8"/>
        <v xml:space="preserve"> </v>
      </c>
      <c r="BB20" s="1" t="str">
        <f t="shared" si="8"/>
        <v xml:space="preserve"> </v>
      </c>
      <c r="BC20" t="s">
        <v>43</v>
      </c>
      <c r="BD20" s="1" t="str">
        <f>AL20&amp;AM20&amp;AN20&amp;AO20&amp;AP20&amp;AQ20&amp;AR20&amp;AS20&amp;AT20&amp;AU20&amp;AV20&amp;AW20&amp;AX20&amp;AY20&amp;AZ20&amp;BA20&amp;BB20&amp;BC20&amp;AL21&amp;AM21&amp;AN21&amp;AO21&amp;AP21&amp;AQ21&amp;AR21&amp;AS21&amp;AT21&amp;AU21&amp;AV21&amp;AW21&amp;AX21&amp;AY21&amp;AZ21&amp;BA21&amp;BB21&amp;BC21&amp;CHAR(10)</f>
        <v xml:space="preserve">{"    CALIBRAR    ","&lt;   VOLTAGEM   &gt;"},
</v>
      </c>
    </row>
    <row r="21" spans="1:56" x14ac:dyDescent="0.25">
      <c r="A21" s="1" t="s">
        <v>14</v>
      </c>
      <c r="E21" s="1" t="s">
        <v>5</v>
      </c>
      <c r="F21" s="1" t="s">
        <v>19</v>
      </c>
      <c r="G21" s="1" t="s">
        <v>23</v>
      </c>
      <c r="H21" s="1" t="s">
        <v>6</v>
      </c>
      <c r="I21" s="1" t="s">
        <v>12</v>
      </c>
      <c r="J21" s="1" t="s">
        <v>24</v>
      </c>
      <c r="K21" s="1" t="s">
        <v>8</v>
      </c>
      <c r="L21" s="1" t="s">
        <v>41</v>
      </c>
      <c r="P21" s="1" t="s">
        <v>15</v>
      </c>
      <c r="AL21" t="s">
        <v>44</v>
      </c>
      <c r="AM21" s="1" t="str">
        <f t="shared" si="8"/>
        <v>&lt;</v>
      </c>
      <c r="AN21" s="1" t="str">
        <f t="shared" si="8"/>
        <v xml:space="preserve"> </v>
      </c>
      <c r="AO21" s="1" t="str">
        <f t="shared" si="8"/>
        <v xml:space="preserve"> </v>
      </c>
      <c r="AP21" s="1" t="str">
        <f t="shared" si="8"/>
        <v xml:space="preserve"> </v>
      </c>
      <c r="AQ21" s="1" t="str">
        <f t="shared" si="8"/>
        <v>V</v>
      </c>
      <c r="AR21" s="1" t="str">
        <f t="shared" si="8"/>
        <v>O</v>
      </c>
      <c r="AS21" s="1" t="str">
        <f t="shared" si="8"/>
        <v>L</v>
      </c>
      <c r="AT21" s="1" t="str">
        <f t="shared" si="8"/>
        <v>T</v>
      </c>
      <c r="AU21" s="1" t="str">
        <f t="shared" si="8"/>
        <v>A</v>
      </c>
      <c r="AV21" s="1" t="str">
        <f t="shared" si="8"/>
        <v>G</v>
      </c>
      <c r="AW21" s="1" t="str">
        <f t="shared" si="8"/>
        <v>E</v>
      </c>
      <c r="AX21" s="1" t="str">
        <f t="shared" si="8"/>
        <v>M</v>
      </c>
      <c r="AY21" s="1" t="str">
        <f t="shared" si="8"/>
        <v xml:space="preserve"> </v>
      </c>
      <c r="AZ21" s="1" t="str">
        <f t="shared" si="8"/>
        <v xml:space="preserve"> </v>
      </c>
      <c r="BA21" s="1" t="str">
        <f t="shared" si="8"/>
        <v xml:space="preserve"> </v>
      </c>
      <c r="BB21" s="1" t="str">
        <f t="shared" si="8"/>
        <v>&gt;</v>
      </c>
      <c r="BC21" t="s">
        <v>45</v>
      </c>
    </row>
    <row r="23" spans="1:56" x14ac:dyDescent="0.25">
      <c r="A23" s="1" t="s">
        <v>61</v>
      </c>
      <c r="B23" s="1" t="s">
        <v>12</v>
      </c>
      <c r="C23" s="1" t="s">
        <v>6</v>
      </c>
      <c r="D23" s="1" t="s">
        <v>8</v>
      </c>
      <c r="E23" s="1" t="s">
        <v>0</v>
      </c>
      <c r="F23" s="1" t="s">
        <v>3</v>
      </c>
      <c r="G23" s="1" t="s">
        <v>12</v>
      </c>
      <c r="H23" s="1" t="s">
        <v>19</v>
      </c>
      <c r="I23" s="1" t="s">
        <v>61</v>
      </c>
      <c r="J23" s="1" t="s">
        <v>49</v>
      </c>
      <c r="K23" s="1" t="s">
        <v>11</v>
      </c>
      <c r="L23" s="1" t="s">
        <v>12</v>
      </c>
      <c r="M23" s="1" t="s">
        <v>16</v>
      </c>
      <c r="N23" s="1" t="s">
        <v>8</v>
      </c>
      <c r="P23" s="1" t="s">
        <v>19</v>
      </c>
      <c r="Q23" s="1">
        <v>7</v>
      </c>
      <c r="R23" s="1">
        <v>7</v>
      </c>
      <c r="S23" s="1">
        <v>7</v>
      </c>
      <c r="T23" s="13">
        <v>3</v>
      </c>
      <c r="U23" s="1">
        <v>7</v>
      </c>
      <c r="V23" s="1">
        <v>7</v>
      </c>
      <c r="W23" s="14">
        <v>3</v>
      </c>
      <c r="X23" s="1">
        <v>7</v>
      </c>
      <c r="Y23" s="16">
        <v>2</v>
      </c>
      <c r="Z23" s="1">
        <v>7</v>
      </c>
      <c r="AA23" s="1">
        <v>7</v>
      </c>
      <c r="AB23" s="1">
        <v>7</v>
      </c>
      <c r="AC23" s="1">
        <v>7</v>
      </c>
      <c r="AD23" s="1">
        <v>7</v>
      </c>
      <c r="AE23" s="17">
        <v>0</v>
      </c>
      <c r="AF23" s="1">
        <v>7</v>
      </c>
      <c r="AG23" s="18">
        <v>4</v>
      </c>
      <c r="AH23" t="str">
        <f>"{"&amp;R23&amp;","&amp;S23&amp;","&amp;T23&amp;","&amp;U23&amp;","&amp;V23&amp;","&amp;W23&amp;","&amp;X23&amp;","&amp;Y23&amp;","&amp;Z23&amp;","&amp;AA23&amp;","&amp;AB23&amp;","&amp;AC23&amp;","&amp;AD23&amp;","&amp;AE23&amp;","&amp;AF23&amp;","&amp;AG23&amp;"},"&amp;CHAR(10)</f>
        <v xml:space="preserve">{7,7,3,7,7,3,7,2,7,7,7,7,7,0,7,4},
</v>
      </c>
      <c r="AL23" t="s">
        <v>42</v>
      </c>
      <c r="AM23" s="1" t="str">
        <f>IF(LEN(A22)=1,A22," ")</f>
        <v xml:space="preserve"> </v>
      </c>
      <c r="AN23" s="1" t="str">
        <f t="shared" ref="AN23:BB24" si="9">IF(LEN(B23)=1,B23," ")</f>
        <v>A</v>
      </c>
      <c r="AO23" s="1" t="str">
        <f t="shared" si="9"/>
        <v>T</v>
      </c>
      <c r="AP23" s="1" t="str">
        <f t="shared" si="9"/>
        <v>E</v>
      </c>
      <c r="AQ23" s="1" t="str">
        <f t="shared" si="9"/>
        <v>N</v>
      </c>
      <c r="AR23" s="1" t="str">
        <f t="shared" si="9"/>
        <v>C</v>
      </c>
      <c r="AS23" s="1" t="str">
        <f t="shared" si="9"/>
        <v>A</v>
      </c>
      <c r="AT23" s="1" t="str">
        <f t="shared" si="9"/>
        <v>O</v>
      </c>
      <c r="AU23" s="1" t="str">
        <f t="shared" si="9"/>
        <v>!</v>
      </c>
      <c r="AV23" s="1" t="str">
        <f t="shared" si="9"/>
        <v xml:space="preserve"> </v>
      </c>
      <c r="AW23" s="1" t="str">
        <f t="shared" si="9"/>
        <v>P</v>
      </c>
      <c r="AX23" s="1" t="str">
        <f t="shared" si="9"/>
        <v>A</v>
      </c>
      <c r="AY23" s="1" t="str">
        <f t="shared" si="9"/>
        <v>R</v>
      </c>
      <c r="AZ23" s="1" t="str">
        <f t="shared" si="9"/>
        <v>E</v>
      </c>
      <c r="BA23" s="1" t="str">
        <f t="shared" si="9"/>
        <v xml:space="preserve"> </v>
      </c>
      <c r="BB23" s="1" t="str">
        <f t="shared" si="9"/>
        <v>O</v>
      </c>
      <c r="BC23" t="s">
        <v>43</v>
      </c>
      <c r="BD23" s="1" t="str">
        <f>AL23&amp;AM23&amp;AN23&amp;AO23&amp;AP23&amp;AQ23&amp;AR23&amp;AS23&amp;AT23&amp;AU23&amp;AV23&amp;AW23&amp;AX23&amp;AY23&amp;AZ23&amp;BA23&amp;BB23&amp;BC23&amp;AL24&amp;AM24&amp;AN24&amp;AO24&amp;AP24&amp;AQ24&amp;AR24&amp;AS24&amp;AT24&amp;AU24&amp;AV24&amp;AW24&amp;AX24&amp;AY24&amp;AZ24&amp;BA24&amp;BB24&amp;BC24&amp;CHAR(10)</f>
        <v xml:space="preserve">{" ATENCAO! PARE O","DATALOG P/ CALIB"},
</v>
      </c>
    </row>
    <row r="24" spans="1:56" x14ac:dyDescent="0.25">
      <c r="A24" s="1" t="s">
        <v>18</v>
      </c>
      <c r="B24" s="1" t="s">
        <v>12</v>
      </c>
      <c r="C24" s="1" t="s">
        <v>6</v>
      </c>
      <c r="D24" s="1" t="s">
        <v>12</v>
      </c>
      <c r="E24" s="1" t="s">
        <v>23</v>
      </c>
      <c r="F24" s="1" t="s">
        <v>19</v>
      </c>
      <c r="G24" s="1" t="s">
        <v>24</v>
      </c>
      <c r="H24" s="1" t="s">
        <v>49</v>
      </c>
      <c r="I24" s="1" t="s">
        <v>11</v>
      </c>
      <c r="J24" s="1" t="s">
        <v>48</v>
      </c>
      <c r="K24" s="1" t="s">
        <v>49</v>
      </c>
      <c r="L24" s="1" t="s">
        <v>3</v>
      </c>
      <c r="M24" s="1" t="s">
        <v>12</v>
      </c>
      <c r="N24" s="1" t="s">
        <v>23</v>
      </c>
      <c r="O24" s="1" t="s">
        <v>17</v>
      </c>
      <c r="P24" s="1" t="s">
        <v>20</v>
      </c>
      <c r="AL24" t="s">
        <v>44</v>
      </c>
      <c r="AM24" s="1" t="str">
        <f>IF(LEN(A24)=1,A24," ")</f>
        <v>D</v>
      </c>
      <c r="AN24" s="1" t="str">
        <f t="shared" si="9"/>
        <v>A</v>
      </c>
      <c r="AO24" s="1" t="str">
        <f t="shared" si="9"/>
        <v>T</v>
      </c>
      <c r="AP24" s="1" t="str">
        <f t="shared" si="9"/>
        <v>A</v>
      </c>
      <c r="AQ24" s="1" t="str">
        <f t="shared" si="9"/>
        <v>L</v>
      </c>
      <c r="AR24" s="1" t="str">
        <f t="shared" si="9"/>
        <v>O</v>
      </c>
      <c r="AS24" s="1" t="str">
        <f t="shared" si="9"/>
        <v>G</v>
      </c>
      <c r="AT24" s="1" t="str">
        <f t="shared" si="9"/>
        <v xml:space="preserve"> </v>
      </c>
      <c r="AU24" s="1" t="str">
        <f t="shared" si="9"/>
        <v>P</v>
      </c>
      <c r="AV24" s="1" t="str">
        <f t="shared" si="9"/>
        <v>/</v>
      </c>
      <c r="AW24" s="1" t="str">
        <f t="shared" si="9"/>
        <v xml:space="preserve"> </v>
      </c>
      <c r="AX24" s="1" t="str">
        <f t="shared" si="9"/>
        <v>C</v>
      </c>
      <c r="AY24" s="1" t="str">
        <f t="shared" si="9"/>
        <v>A</v>
      </c>
      <c r="AZ24" s="1" t="str">
        <f t="shared" si="9"/>
        <v>L</v>
      </c>
      <c r="BA24" s="1" t="str">
        <f t="shared" si="9"/>
        <v>I</v>
      </c>
      <c r="BB24" s="1" t="str">
        <f t="shared" si="9"/>
        <v>B</v>
      </c>
      <c r="BC24" t="s">
        <v>45</v>
      </c>
    </row>
    <row r="26" spans="1:56" x14ac:dyDescent="0.25">
      <c r="D26" s="1">
        <v>4</v>
      </c>
      <c r="E26" s="1" t="s">
        <v>4</v>
      </c>
      <c r="F26" s="1" t="s">
        <v>4</v>
      </c>
      <c r="G26" s="1">
        <v>2</v>
      </c>
      <c r="H26" s="1">
        <v>0</v>
      </c>
      <c r="J26" s="1" t="s">
        <v>23</v>
      </c>
      <c r="K26" s="1" t="s">
        <v>19</v>
      </c>
      <c r="L26" s="1" t="s">
        <v>19</v>
      </c>
      <c r="M26" s="1" t="s">
        <v>11</v>
      </c>
      <c r="Q26" s="1">
        <v>8</v>
      </c>
      <c r="R26" s="1">
        <v>8</v>
      </c>
      <c r="S26" s="1">
        <v>9</v>
      </c>
      <c r="T26" s="13">
        <v>16</v>
      </c>
      <c r="U26" s="1">
        <v>8</v>
      </c>
      <c r="V26" s="1">
        <v>15</v>
      </c>
      <c r="W26" s="14">
        <v>5</v>
      </c>
      <c r="X26" s="1">
        <v>8</v>
      </c>
      <c r="Y26" s="16">
        <v>2</v>
      </c>
      <c r="Z26" s="1">
        <v>8</v>
      </c>
      <c r="AA26" s="1">
        <v>8</v>
      </c>
      <c r="AB26" s="1">
        <v>19</v>
      </c>
      <c r="AC26" s="1">
        <v>8</v>
      </c>
      <c r="AD26" s="1">
        <v>8</v>
      </c>
      <c r="AE26" s="17">
        <v>0</v>
      </c>
      <c r="AF26" s="1">
        <v>8</v>
      </c>
      <c r="AG26" s="18">
        <v>4</v>
      </c>
      <c r="AH26" t="str">
        <f>"{"&amp;R26&amp;","&amp;S26&amp;","&amp;T26&amp;","&amp;U26&amp;","&amp;V26&amp;","&amp;W26&amp;","&amp;X26&amp;","&amp;Y26&amp;","&amp;Z26&amp;","&amp;AA26&amp;","&amp;AB26&amp;","&amp;AC26&amp;","&amp;AD26&amp;","&amp;AE26&amp;","&amp;AF26&amp;","&amp;AG26&amp;"},"&amp;CHAR(10)</f>
        <v xml:space="preserve">{8,9,16,8,15,5,8,2,8,8,19,8,8,0,8,4},
</v>
      </c>
      <c r="AL26" t="s">
        <v>42</v>
      </c>
      <c r="AM26" s="1" t="str">
        <f t="shared" ref="AM26:BB27" si="10">IF(LEN(A26)=1,A26," ")</f>
        <v xml:space="preserve"> </v>
      </c>
      <c r="AN26" s="1" t="str">
        <f t="shared" si="10"/>
        <v xml:space="preserve"> </v>
      </c>
      <c r="AO26" s="1" t="str">
        <f t="shared" si="10"/>
        <v xml:space="preserve"> </v>
      </c>
      <c r="AP26" s="1">
        <f t="shared" si="10"/>
        <v>4</v>
      </c>
      <c r="AQ26" s="1" t="str">
        <f t="shared" si="10"/>
        <v>.</v>
      </c>
      <c r="AR26" s="1" t="str">
        <f t="shared" si="10"/>
        <v>.</v>
      </c>
      <c r="AS26" s="1">
        <f t="shared" si="10"/>
        <v>2</v>
      </c>
      <c r="AT26" s="1">
        <f t="shared" si="10"/>
        <v>0</v>
      </c>
      <c r="AU26" s="1" t="str">
        <f t="shared" si="10"/>
        <v xml:space="preserve"> </v>
      </c>
      <c r="AV26" s="1" t="str">
        <f t="shared" si="10"/>
        <v>L</v>
      </c>
      <c r="AW26" s="1" t="str">
        <f t="shared" si="10"/>
        <v>O</v>
      </c>
      <c r="AX26" s="1" t="str">
        <f t="shared" si="10"/>
        <v>O</v>
      </c>
      <c r="AY26" s="1" t="str">
        <f t="shared" si="10"/>
        <v>P</v>
      </c>
      <c r="AZ26" s="1" t="str">
        <f t="shared" si="10"/>
        <v xml:space="preserve"> </v>
      </c>
      <c r="BA26" s="1" t="str">
        <f t="shared" si="10"/>
        <v xml:space="preserve"> </v>
      </c>
      <c r="BB26" s="1" t="str">
        <f t="shared" si="10"/>
        <v xml:space="preserve"> </v>
      </c>
      <c r="BC26" t="s">
        <v>43</v>
      </c>
      <c r="BD26" s="1" t="str">
        <f>AL26&amp;AM26&amp;AN26&amp;AO26&amp;AP26&amp;AQ26&amp;AR26&amp;AS26&amp;AT26&amp;AU26&amp;AV26&amp;AW26&amp;AX26&amp;AY26&amp;AZ26&amp;BA26&amp;BB26&amp;BC26&amp;AL27&amp;AM27&amp;AN27&amp;AO27&amp;AP27&amp;AQ27&amp;AR27&amp;AS27&amp;AT27&amp;AU27&amp;AV27&amp;AW27&amp;AX27&amp;AY27&amp;AZ27&amp;BA27&amp;BB27&amp;BC27&amp;CHAR(10)</f>
        <v xml:space="preserve">{"   4..20 LOOP   ","&lt;      S0      &gt;"},
</v>
      </c>
    </row>
    <row r="27" spans="1:56" x14ac:dyDescent="0.25">
      <c r="A27" s="1" t="s">
        <v>14</v>
      </c>
      <c r="H27" s="1" t="s">
        <v>2</v>
      </c>
      <c r="I27" s="1">
        <v>0</v>
      </c>
      <c r="P27" s="1" t="s">
        <v>15</v>
      </c>
      <c r="AL27" t="s">
        <v>44</v>
      </c>
      <c r="AM27" s="1" t="str">
        <f t="shared" si="10"/>
        <v>&lt;</v>
      </c>
      <c r="AN27" s="1" t="str">
        <f t="shared" si="10"/>
        <v xml:space="preserve"> </v>
      </c>
      <c r="AO27" s="1" t="str">
        <f t="shared" si="10"/>
        <v xml:space="preserve"> </v>
      </c>
      <c r="AP27" s="1" t="str">
        <f t="shared" si="10"/>
        <v xml:space="preserve"> </v>
      </c>
      <c r="AQ27" s="1" t="str">
        <f t="shared" si="10"/>
        <v xml:space="preserve"> </v>
      </c>
      <c r="AR27" s="1" t="str">
        <f t="shared" si="10"/>
        <v xml:space="preserve"> </v>
      </c>
      <c r="AS27" s="1" t="str">
        <f t="shared" si="10"/>
        <v xml:space="preserve"> </v>
      </c>
      <c r="AT27" s="1" t="str">
        <f t="shared" si="10"/>
        <v>S</v>
      </c>
      <c r="AU27" s="1">
        <f t="shared" si="10"/>
        <v>0</v>
      </c>
      <c r="AV27" s="1" t="str">
        <f t="shared" si="10"/>
        <v xml:space="preserve"> </v>
      </c>
      <c r="AW27" s="1" t="str">
        <f t="shared" si="10"/>
        <v xml:space="preserve"> </v>
      </c>
      <c r="AX27" s="1" t="str">
        <f t="shared" si="10"/>
        <v xml:space="preserve"> </v>
      </c>
      <c r="AY27" s="1" t="str">
        <f t="shared" si="10"/>
        <v xml:space="preserve"> </v>
      </c>
      <c r="AZ27" s="1" t="str">
        <f t="shared" si="10"/>
        <v xml:space="preserve"> </v>
      </c>
      <c r="BA27" s="1" t="str">
        <f t="shared" si="10"/>
        <v xml:space="preserve"> </v>
      </c>
      <c r="BB27" s="1" t="str">
        <f t="shared" si="10"/>
        <v>&gt;</v>
      </c>
      <c r="BC27" t="s">
        <v>45</v>
      </c>
    </row>
    <row r="29" spans="1:56" x14ac:dyDescent="0.25">
      <c r="D29" s="1">
        <v>4</v>
      </c>
      <c r="E29" s="1" t="s">
        <v>4</v>
      </c>
      <c r="F29" s="1" t="s">
        <v>4</v>
      </c>
      <c r="G29" s="1">
        <v>2</v>
      </c>
      <c r="H29" s="1">
        <v>0</v>
      </c>
      <c r="J29" s="1" t="s">
        <v>23</v>
      </c>
      <c r="K29" s="1" t="s">
        <v>19</v>
      </c>
      <c r="L29" s="1" t="s">
        <v>19</v>
      </c>
      <c r="M29" s="1" t="s">
        <v>11</v>
      </c>
      <c r="Q29" s="1">
        <v>9</v>
      </c>
      <c r="R29" s="1">
        <v>9</v>
      </c>
      <c r="S29" s="1">
        <v>10</v>
      </c>
      <c r="T29" s="13">
        <v>16</v>
      </c>
      <c r="U29" s="1">
        <v>9</v>
      </c>
      <c r="V29" s="1">
        <v>8</v>
      </c>
      <c r="W29" s="14">
        <v>5</v>
      </c>
      <c r="X29" s="1">
        <v>9</v>
      </c>
      <c r="Y29" s="16">
        <v>2</v>
      </c>
      <c r="Z29" s="1">
        <v>9</v>
      </c>
      <c r="AA29" s="1">
        <v>9</v>
      </c>
      <c r="AB29" s="1">
        <v>19</v>
      </c>
      <c r="AC29" s="1">
        <v>9</v>
      </c>
      <c r="AD29" s="1">
        <v>9</v>
      </c>
      <c r="AE29" s="17">
        <v>0</v>
      </c>
      <c r="AF29" s="1">
        <v>9</v>
      </c>
      <c r="AG29" s="18">
        <v>4</v>
      </c>
      <c r="AH29" t="str">
        <f>"{"&amp;R29&amp;","&amp;S29&amp;","&amp;T29&amp;","&amp;U29&amp;","&amp;V29&amp;","&amp;W29&amp;","&amp;X29&amp;","&amp;Y29&amp;","&amp;Z29&amp;","&amp;AA29&amp;","&amp;AB29&amp;","&amp;AC29&amp;","&amp;AD29&amp;","&amp;AE29&amp;","&amp;AF29&amp;","&amp;AG29&amp;"},"&amp;CHAR(10)</f>
        <v xml:space="preserve">{9,10,16,9,8,5,9,2,9,9,19,9,9,0,9,4},
</v>
      </c>
      <c r="AL29" t="s">
        <v>42</v>
      </c>
      <c r="AM29" s="1" t="str">
        <f t="shared" ref="AM29:BB30" si="11">IF(LEN(A29)=1,A29," ")</f>
        <v xml:space="preserve"> </v>
      </c>
      <c r="AN29" s="1" t="str">
        <f t="shared" si="11"/>
        <v xml:space="preserve"> </v>
      </c>
      <c r="AO29" s="1" t="str">
        <f t="shared" si="11"/>
        <v xml:space="preserve"> </v>
      </c>
      <c r="AP29" s="1">
        <f t="shared" si="11"/>
        <v>4</v>
      </c>
      <c r="AQ29" s="1" t="str">
        <f t="shared" si="11"/>
        <v>.</v>
      </c>
      <c r="AR29" s="1" t="str">
        <f t="shared" si="11"/>
        <v>.</v>
      </c>
      <c r="AS29" s="1">
        <f t="shared" si="11"/>
        <v>2</v>
      </c>
      <c r="AT29" s="1">
        <f t="shared" si="11"/>
        <v>0</v>
      </c>
      <c r="AU29" s="1" t="str">
        <f t="shared" si="11"/>
        <v xml:space="preserve"> </v>
      </c>
      <c r="AV29" s="1" t="str">
        <f t="shared" si="11"/>
        <v>L</v>
      </c>
      <c r="AW29" s="1" t="str">
        <f t="shared" si="11"/>
        <v>O</v>
      </c>
      <c r="AX29" s="1" t="str">
        <f t="shared" si="11"/>
        <v>O</v>
      </c>
      <c r="AY29" s="1" t="str">
        <f t="shared" si="11"/>
        <v>P</v>
      </c>
      <c r="AZ29" s="1" t="str">
        <f t="shared" si="11"/>
        <v xml:space="preserve"> </v>
      </c>
      <c r="BA29" s="1" t="str">
        <f t="shared" si="11"/>
        <v xml:space="preserve"> </v>
      </c>
      <c r="BB29" s="1" t="str">
        <f t="shared" si="11"/>
        <v xml:space="preserve"> </v>
      </c>
      <c r="BC29" t="s">
        <v>43</v>
      </c>
      <c r="BD29" s="1" t="str">
        <f>AL29&amp;AM29&amp;AN29&amp;AO29&amp;AP29&amp;AQ29&amp;AR29&amp;AS29&amp;AT29&amp;AU29&amp;AV29&amp;AW29&amp;AX29&amp;AY29&amp;AZ29&amp;BA29&amp;BB29&amp;BC29&amp;AL30&amp;AM30&amp;AN30&amp;AO30&amp;AP30&amp;AQ30&amp;AR30&amp;AS30&amp;AT30&amp;AU30&amp;AV30&amp;AW30&amp;AX30&amp;AY30&amp;AZ30&amp;BA30&amp;BB30&amp;BC30&amp;CHAR(10)</f>
        <v xml:space="preserve">{"   4..20 LOOP   ","&lt;      S1      &gt;"},
</v>
      </c>
    </row>
    <row r="30" spans="1:56" x14ac:dyDescent="0.25">
      <c r="A30" s="1" t="s">
        <v>14</v>
      </c>
      <c r="H30" s="1" t="s">
        <v>2</v>
      </c>
      <c r="I30" s="1">
        <v>1</v>
      </c>
      <c r="P30" s="1" t="s">
        <v>15</v>
      </c>
      <c r="AL30" t="s">
        <v>44</v>
      </c>
      <c r="AM30" s="1" t="str">
        <f t="shared" si="11"/>
        <v>&lt;</v>
      </c>
      <c r="AN30" s="1" t="str">
        <f t="shared" si="11"/>
        <v xml:space="preserve"> </v>
      </c>
      <c r="AO30" s="1" t="str">
        <f t="shared" si="11"/>
        <v xml:space="preserve"> </v>
      </c>
      <c r="AP30" s="1" t="str">
        <f t="shared" si="11"/>
        <v xml:space="preserve"> </v>
      </c>
      <c r="AQ30" s="1" t="str">
        <f t="shared" si="11"/>
        <v xml:space="preserve"> </v>
      </c>
      <c r="AR30" s="1" t="str">
        <f t="shared" si="11"/>
        <v xml:space="preserve"> </v>
      </c>
      <c r="AS30" s="1" t="str">
        <f t="shared" si="11"/>
        <v xml:space="preserve"> </v>
      </c>
      <c r="AT30" s="1" t="str">
        <f t="shared" si="11"/>
        <v>S</v>
      </c>
      <c r="AU30" s="1">
        <f t="shared" si="11"/>
        <v>1</v>
      </c>
      <c r="AV30" s="1" t="str">
        <f t="shared" si="11"/>
        <v xml:space="preserve"> </v>
      </c>
      <c r="AW30" s="1" t="str">
        <f t="shared" si="11"/>
        <v xml:space="preserve"> </v>
      </c>
      <c r="AX30" s="1" t="str">
        <f t="shared" si="11"/>
        <v xml:space="preserve"> </v>
      </c>
      <c r="AY30" s="1" t="str">
        <f t="shared" si="11"/>
        <v xml:space="preserve"> </v>
      </c>
      <c r="AZ30" s="1" t="str">
        <f t="shared" si="11"/>
        <v xml:space="preserve"> </v>
      </c>
      <c r="BA30" s="1" t="str">
        <f t="shared" si="11"/>
        <v xml:space="preserve"> </v>
      </c>
      <c r="BB30" s="1" t="str">
        <f t="shared" si="11"/>
        <v>&gt;</v>
      </c>
      <c r="BC30" t="s">
        <v>45</v>
      </c>
    </row>
    <row r="32" spans="1:56" x14ac:dyDescent="0.25">
      <c r="D32" s="1">
        <v>4</v>
      </c>
      <c r="E32" s="1" t="s">
        <v>4</v>
      </c>
      <c r="F32" s="1" t="s">
        <v>4</v>
      </c>
      <c r="G32" s="1">
        <v>2</v>
      </c>
      <c r="H32" s="1">
        <v>0</v>
      </c>
      <c r="J32" s="1" t="s">
        <v>23</v>
      </c>
      <c r="K32" s="1" t="s">
        <v>19</v>
      </c>
      <c r="L32" s="1" t="s">
        <v>19</v>
      </c>
      <c r="M32" s="1" t="s">
        <v>11</v>
      </c>
      <c r="Q32" s="1">
        <v>10</v>
      </c>
      <c r="R32" s="1">
        <v>10</v>
      </c>
      <c r="S32" s="1">
        <v>11</v>
      </c>
      <c r="T32" s="13">
        <v>16</v>
      </c>
      <c r="U32" s="1">
        <v>10</v>
      </c>
      <c r="V32" s="1">
        <v>9</v>
      </c>
      <c r="W32" s="14">
        <v>5</v>
      </c>
      <c r="X32" s="1">
        <v>10</v>
      </c>
      <c r="Y32" s="16">
        <v>2</v>
      </c>
      <c r="Z32" s="1">
        <v>10</v>
      </c>
      <c r="AA32" s="1">
        <v>10</v>
      </c>
      <c r="AB32" s="1">
        <v>19</v>
      </c>
      <c r="AC32" s="1">
        <v>10</v>
      </c>
      <c r="AD32" s="1">
        <v>10</v>
      </c>
      <c r="AE32" s="17">
        <v>0</v>
      </c>
      <c r="AF32" s="1">
        <v>10</v>
      </c>
      <c r="AG32" s="18">
        <v>4</v>
      </c>
      <c r="AH32" t="str">
        <f>"{"&amp;R32&amp;","&amp;S32&amp;","&amp;T32&amp;","&amp;U32&amp;","&amp;V32&amp;","&amp;W32&amp;","&amp;X32&amp;","&amp;Y32&amp;","&amp;Z32&amp;","&amp;AA32&amp;","&amp;AB32&amp;","&amp;AC32&amp;","&amp;AD32&amp;","&amp;AE32&amp;","&amp;AF32&amp;","&amp;AG32&amp;"},"&amp;CHAR(10)</f>
        <v xml:space="preserve">{10,11,16,10,9,5,10,2,10,10,19,10,10,0,10,4},
</v>
      </c>
      <c r="AL32" t="s">
        <v>42</v>
      </c>
      <c r="AM32" s="1" t="str">
        <f t="shared" ref="AM32:BB33" si="12">IF(LEN(A32)=1,A32," ")</f>
        <v xml:space="preserve"> </v>
      </c>
      <c r="AN32" s="1" t="str">
        <f t="shared" si="12"/>
        <v xml:space="preserve"> </v>
      </c>
      <c r="AO32" s="1" t="str">
        <f t="shared" si="12"/>
        <v xml:space="preserve"> </v>
      </c>
      <c r="AP32" s="1">
        <f t="shared" si="12"/>
        <v>4</v>
      </c>
      <c r="AQ32" s="1" t="str">
        <f t="shared" si="12"/>
        <v>.</v>
      </c>
      <c r="AR32" s="1" t="str">
        <f t="shared" si="12"/>
        <v>.</v>
      </c>
      <c r="AS32" s="1">
        <f t="shared" si="12"/>
        <v>2</v>
      </c>
      <c r="AT32" s="1">
        <f t="shared" si="12"/>
        <v>0</v>
      </c>
      <c r="AU32" s="1" t="str">
        <f t="shared" si="12"/>
        <v xml:space="preserve"> </v>
      </c>
      <c r="AV32" s="1" t="str">
        <f t="shared" si="12"/>
        <v>L</v>
      </c>
      <c r="AW32" s="1" t="str">
        <f t="shared" si="12"/>
        <v>O</v>
      </c>
      <c r="AX32" s="1" t="str">
        <f t="shared" si="12"/>
        <v>O</v>
      </c>
      <c r="AY32" s="1" t="str">
        <f t="shared" si="12"/>
        <v>P</v>
      </c>
      <c r="AZ32" s="1" t="str">
        <f t="shared" si="12"/>
        <v xml:space="preserve"> </v>
      </c>
      <c r="BA32" s="1" t="str">
        <f t="shared" si="12"/>
        <v xml:space="preserve"> </v>
      </c>
      <c r="BB32" s="1" t="str">
        <f t="shared" si="12"/>
        <v xml:space="preserve"> </v>
      </c>
      <c r="BC32" t="s">
        <v>43</v>
      </c>
      <c r="BD32" s="1" t="str">
        <f>AL32&amp;AM32&amp;AN32&amp;AO32&amp;AP32&amp;AQ32&amp;AR32&amp;AS32&amp;AT32&amp;AU32&amp;AV32&amp;AW32&amp;AX32&amp;AY32&amp;AZ32&amp;BA32&amp;BB32&amp;BC32&amp;AL33&amp;AM33&amp;AN33&amp;AO33&amp;AP33&amp;AQ33&amp;AR33&amp;AS33&amp;AT33&amp;AU33&amp;AV33&amp;AW33&amp;AX33&amp;AY33&amp;AZ33&amp;BA33&amp;BB33&amp;BC33&amp;CHAR(10)</f>
        <v xml:space="preserve">{"   4..20 LOOP   ","&lt;      S2      &gt;"},
</v>
      </c>
    </row>
    <row r="33" spans="1:56" x14ac:dyDescent="0.25">
      <c r="A33" s="1" t="s">
        <v>14</v>
      </c>
      <c r="H33" s="1" t="s">
        <v>2</v>
      </c>
      <c r="I33" s="1">
        <v>2</v>
      </c>
      <c r="P33" s="1" t="s">
        <v>15</v>
      </c>
      <c r="AL33" t="s">
        <v>44</v>
      </c>
      <c r="AM33" s="1" t="str">
        <f t="shared" si="12"/>
        <v>&lt;</v>
      </c>
      <c r="AN33" s="1" t="str">
        <f t="shared" si="12"/>
        <v xml:space="preserve"> </v>
      </c>
      <c r="AO33" s="1" t="str">
        <f t="shared" si="12"/>
        <v xml:space="preserve"> </v>
      </c>
      <c r="AP33" s="1" t="str">
        <f t="shared" si="12"/>
        <v xml:space="preserve"> </v>
      </c>
      <c r="AQ33" s="1" t="str">
        <f t="shared" si="12"/>
        <v xml:space="preserve"> </v>
      </c>
      <c r="AR33" s="1" t="str">
        <f t="shared" si="12"/>
        <v xml:space="preserve"> </v>
      </c>
      <c r="AS33" s="1" t="str">
        <f t="shared" si="12"/>
        <v xml:space="preserve"> </v>
      </c>
      <c r="AT33" s="1" t="str">
        <f t="shared" si="12"/>
        <v>S</v>
      </c>
      <c r="AU33" s="1">
        <f t="shared" si="12"/>
        <v>2</v>
      </c>
      <c r="AV33" s="1" t="str">
        <f t="shared" si="12"/>
        <v xml:space="preserve"> </v>
      </c>
      <c r="AW33" s="1" t="str">
        <f t="shared" si="12"/>
        <v xml:space="preserve"> </v>
      </c>
      <c r="AX33" s="1" t="str">
        <f t="shared" si="12"/>
        <v xml:space="preserve"> </v>
      </c>
      <c r="AY33" s="1" t="str">
        <f t="shared" si="12"/>
        <v xml:space="preserve"> </v>
      </c>
      <c r="AZ33" s="1" t="str">
        <f t="shared" si="12"/>
        <v xml:space="preserve"> </v>
      </c>
      <c r="BA33" s="1" t="str">
        <f t="shared" si="12"/>
        <v xml:space="preserve"> </v>
      </c>
      <c r="BB33" s="1" t="str">
        <f t="shared" si="12"/>
        <v>&gt;</v>
      </c>
      <c r="BC33" t="s">
        <v>45</v>
      </c>
    </row>
    <row r="35" spans="1:56" x14ac:dyDescent="0.25">
      <c r="D35" s="1">
        <v>4</v>
      </c>
      <c r="E35" s="1" t="s">
        <v>4</v>
      </c>
      <c r="F35" s="1" t="s">
        <v>4</v>
      </c>
      <c r="G35" s="1">
        <v>2</v>
      </c>
      <c r="H35" s="1">
        <v>0</v>
      </c>
      <c r="J35" s="1" t="s">
        <v>23</v>
      </c>
      <c r="K35" s="1" t="s">
        <v>19</v>
      </c>
      <c r="L35" s="1" t="s">
        <v>19</v>
      </c>
      <c r="M35" s="1" t="s">
        <v>11</v>
      </c>
      <c r="Q35" s="1">
        <v>11</v>
      </c>
      <c r="R35" s="1">
        <v>11</v>
      </c>
      <c r="S35" s="1">
        <v>12</v>
      </c>
      <c r="T35" s="13">
        <v>16</v>
      </c>
      <c r="U35" s="1">
        <v>11</v>
      </c>
      <c r="V35" s="1">
        <v>10</v>
      </c>
      <c r="W35" s="14">
        <v>5</v>
      </c>
      <c r="X35" s="1">
        <v>11</v>
      </c>
      <c r="Y35" s="16">
        <v>2</v>
      </c>
      <c r="Z35" s="1">
        <v>11</v>
      </c>
      <c r="AA35" s="1">
        <v>11</v>
      </c>
      <c r="AB35" s="1">
        <v>19</v>
      </c>
      <c r="AC35" s="1">
        <v>11</v>
      </c>
      <c r="AD35" s="1">
        <v>11</v>
      </c>
      <c r="AE35" s="17">
        <v>0</v>
      </c>
      <c r="AF35" s="1">
        <v>11</v>
      </c>
      <c r="AG35" s="18">
        <v>4</v>
      </c>
      <c r="AH35" t="str">
        <f>"{"&amp;R35&amp;","&amp;S35&amp;","&amp;T35&amp;","&amp;U35&amp;","&amp;V35&amp;","&amp;W35&amp;","&amp;X35&amp;","&amp;Y35&amp;","&amp;Z35&amp;","&amp;AA35&amp;","&amp;AB35&amp;","&amp;AC35&amp;","&amp;AD35&amp;","&amp;AE35&amp;","&amp;AF35&amp;","&amp;AG35&amp;"},"&amp;CHAR(10)</f>
        <v xml:space="preserve">{11,12,16,11,10,5,11,2,11,11,19,11,11,0,11,4},
</v>
      </c>
      <c r="AL35" t="s">
        <v>42</v>
      </c>
      <c r="AM35" s="1" t="str">
        <f t="shared" ref="AM35:BB36" si="13">IF(LEN(A35)=1,A35," ")</f>
        <v xml:space="preserve"> </v>
      </c>
      <c r="AN35" s="1" t="str">
        <f t="shared" si="13"/>
        <v xml:space="preserve"> </v>
      </c>
      <c r="AO35" s="1" t="str">
        <f t="shared" si="13"/>
        <v xml:space="preserve"> </v>
      </c>
      <c r="AP35" s="1">
        <f t="shared" si="13"/>
        <v>4</v>
      </c>
      <c r="AQ35" s="1" t="str">
        <f t="shared" si="13"/>
        <v>.</v>
      </c>
      <c r="AR35" s="1" t="str">
        <f t="shared" si="13"/>
        <v>.</v>
      </c>
      <c r="AS35" s="1">
        <f t="shared" si="13"/>
        <v>2</v>
      </c>
      <c r="AT35" s="1">
        <f t="shared" si="13"/>
        <v>0</v>
      </c>
      <c r="AU35" s="1" t="str">
        <f t="shared" si="13"/>
        <v xml:space="preserve"> </v>
      </c>
      <c r="AV35" s="1" t="str">
        <f t="shared" si="13"/>
        <v>L</v>
      </c>
      <c r="AW35" s="1" t="str">
        <f t="shared" si="13"/>
        <v>O</v>
      </c>
      <c r="AX35" s="1" t="str">
        <f t="shared" si="13"/>
        <v>O</v>
      </c>
      <c r="AY35" s="1" t="str">
        <f t="shared" si="13"/>
        <v>P</v>
      </c>
      <c r="AZ35" s="1" t="str">
        <f t="shared" si="13"/>
        <v xml:space="preserve"> </v>
      </c>
      <c r="BA35" s="1" t="str">
        <f t="shared" si="13"/>
        <v xml:space="preserve"> </v>
      </c>
      <c r="BB35" s="1" t="str">
        <f t="shared" si="13"/>
        <v xml:space="preserve"> </v>
      </c>
      <c r="BC35" t="s">
        <v>43</v>
      </c>
      <c r="BD35" s="1" t="str">
        <f>AL35&amp;AM35&amp;AN35&amp;AO35&amp;AP35&amp;AQ35&amp;AR35&amp;AS35&amp;AT35&amp;AU35&amp;AV35&amp;AW35&amp;AX35&amp;AY35&amp;AZ35&amp;BA35&amp;BB35&amp;BC35&amp;AL36&amp;AM36&amp;AN36&amp;AO36&amp;AP36&amp;AQ36&amp;AR36&amp;AS36&amp;AT36&amp;AU36&amp;AV36&amp;AW36&amp;AX36&amp;AY36&amp;AZ36&amp;BA36&amp;BB36&amp;BC36&amp;CHAR(10)</f>
        <v xml:space="preserve">{"   4..20 LOOP   ","&lt;      S3      &gt;"},
</v>
      </c>
    </row>
    <row r="36" spans="1:56" x14ac:dyDescent="0.25">
      <c r="A36" s="1" t="s">
        <v>14</v>
      </c>
      <c r="H36" s="1" t="s">
        <v>2</v>
      </c>
      <c r="I36" s="1">
        <v>3</v>
      </c>
      <c r="P36" s="1" t="s">
        <v>15</v>
      </c>
      <c r="AL36" t="s">
        <v>44</v>
      </c>
      <c r="AM36" s="1" t="str">
        <f t="shared" si="13"/>
        <v>&lt;</v>
      </c>
      <c r="AN36" s="1" t="str">
        <f t="shared" si="13"/>
        <v xml:space="preserve"> </v>
      </c>
      <c r="AO36" s="1" t="str">
        <f t="shared" si="13"/>
        <v xml:space="preserve"> </v>
      </c>
      <c r="AP36" s="1" t="str">
        <f t="shared" si="13"/>
        <v xml:space="preserve"> </v>
      </c>
      <c r="AQ36" s="1" t="str">
        <f t="shared" si="13"/>
        <v xml:space="preserve"> </v>
      </c>
      <c r="AR36" s="1" t="str">
        <f t="shared" si="13"/>
        <v xml:space="preserve"> </v>
      </c>
      <c r="AS36" s="1" t="str">
        <f t="shared" si="13"/>
        <v xml:space="preserve"> </v>
      </c>
      <c r="AT36" s="1" t="str">
        <f t="shared" si="13"/>
        <v>S</v>
      </c>
      <c r="AU36" s="1">
        <f t="shared" si="13"/>
        <v>3</v>
      </c>
      <c r="AV36" s="1" t="str">
        <f t="shared" si="13"/>
        <v xml:space="preserve"> </v>
      </c>
      <c r="AW36" s="1" t="str">
        <f t="shared" si="13"/>
        <v xml:space="preserve"> </v>
      </c>
      <c r="AX36" s="1" t="str">
        <f t="shared" si="13"/>
        <v xml:space="preserve"> </v>
      </c>
      <c r="AY36" s="1" t="str">
        <f t="shared" si="13"/>
        <v xml:space="preserve"> </v>
      </c>
      <c r="AZ36" s="1" t="str">
        <f t="shared" si="13"/>
        <v xml:space="preserve"> </v>
      </c>
      <c r="BA36" s="1" t="str">
        <f t="shared" si="13"/>
        <v xml:space="preserve"> </v>
      </c>
      <c r="BB36" s="1" t="str">
        <f t="shared" si="13"/>
        <v>&gt;</v>
      </c>
      <c r="BC36" t="s">
        <v>45</v>
      </c>
    </row>
    <row r="38" spans="1:56" x14ac:dyDescent="0.25">
      <c r="D38" s="1">
        <v>4</v>
      </c>
      <c r="E38" s="1" t="s">
        <v>4</v>
      </c>
      <c r="F38" s="1" t="s">
        <v>4</v>
      </c>
      <c r="G38" s="1">
        <v>2</v>
      </c>
      <c r="H38" s="1">
        <v>0</v>
      </c>
      <c r="J38" s="1" t="s">
        <v>23</v>
      </c>
      <c r="K38" s="1" t="s">
        <v>19</v>
      </c>
      <c r="L38" s="1" t="s">
        <v>19</v>
      </c>
      <c r="M38" s="1" t="s">
        <v>11</v>
      </c>
      <c r="Q38" s="1">
        <v>12</v>
      </c>
      <c r="R38" s="1">
        <v>12</v>
      </c>
      <c r="S38" s="1">
        <v>13</v>
      </c>
      <c r="T38" s="13">
        <v>16</v>
      </c>
      <c r="U38" s="1">
        <v>12</v>
      </c>
      <c r="V38" s="1">
        <v>11</v>
      </c>
      <c r="W38" s="14">
        <v>5</v>
      </c>
      <c r="X38" s="1">
        <v>12</v>
      </c>
      <c r="Y38" s="16">
        <v>2</v>
      </c>
      <c r="Z38" s="1">
        <v>12</v>
      </c>
      <c r="AA38" s="1">
        <v>12</v>
      </c>
      <c r="AB38" s="1">
        <v>19</v>
      </c>
      <c r="AC38" s="1">
        <v>12</v>
      </c>
      <c r="AD38" s="1">
        <v>12</v>
      </c>
      <c r="AE38" s="17">
        <v>0</v>
      </c>
      <c r="AF38" s="1">
        <v>12</v>
      </c>
      <c r="AG38" s="18">
        <v>4</v>
      </c>
      <c r="AH38" t="str">
        <f>"{"&amp;R38&amp;","&amp;S38&amp;","&amp;T38&amp;","&amp;U38&amp;","&amp;V38&amp;","&amp;W38&amp;","&amp;X38&amp;","&amp;Y38&amp;","&amp;Z38&amp;","&amp;AA38&amp;","&amp;AB38&amp;","&amp;AC38&amp;","&amp;AD38&amp;","&amp;AE38&amp;","&amp;AF38&amp;","&amp;AG38&amp;"},"&amp;CHAR(10)</f>
        <v xml:space="preserve">{12,13,16,12,11,5,12,2,12,12,19,12,12,0,12,4},
</v>
      </c>
      <c r="AL38" t="s">
        <v>42</v>
      </c>
      <c r="AM38" s="1" t="str">
        <f t="shared" ref="AM38:BB39" si="14">IF(LEN(A38)=1,A38," ")</f>
        <v xml:space="preserve"> </v>
      </c>
      <c r="AN38" s="1" t="str">
        <f t="shared" si="14"/>
        <v xml:space="preserve"> </v>
      </c>
      <c r="AO38" s="1" t="str">
        <f t="shared" si="14"/>
        <v xml:space="preserve"> </v>
      </c>
      <c r="AP38" s="1">
        <f t="shared" si="14"/>
        <v>4</v>
      </c>
      <c r="AQ38" s="1" t="str">
        <f t="shared" si="14"/>
        <v>.</v>
      </c>
      <c r="AR38" s="1" t="str">
        <f t="shared" si="14"/>
        <v>.</v>
      </c>
      <c r="AS38" s="1">
        <f t="shared" si="14"/>
        <v>2</v>
      </c>
      <c r="AT38" s="1">
        <f t="shared" si="14"/>
        <v>0</v>
      </c>
      <c r="AU38" s="1" t="str">
        <f t="shared" si="14"/>
        <v xml:space="preserve"> </v>
      </c>
      <c r="AV38" s="1" t="str">
        <f t="shared" si="14"/>
        <v>L</v>
      </c>
      <c r="AW38" s="1" t="str">
        <f t="shared" si="14"/>
        <v>O</v>
      </c>
      <c r="AX38" s="1" t="str">
        <f t="shared" si="14"/>
        <v>O</v>
      </c>
      <c r="AY38" s="1" t="str">
        <f t="shared" si="14"/>
        <v>P</v>
      </c>
      <c r="AZ38" s="1" t="str">
        <f t="shared" si="14"/>
        <v xml:space="preserve"> </v>
      </c>
      <c r="BA38" s="1" t="str">
        <f t="shared" si="14"/>
        <v xml:space="preserve"> </v>
      </c>
      <c r="BB38" s="1" t="str">
        <f t="shared" si="14"/>
        <v xml:space="preserve"> </v>
      </c>
      <c r="BC38" t="s">
        <v>43</v>
      </c>
      <c r="BD38" s="1" t="str">
        <f>AL38&amp;AM38&amp;AN38&amp;AO38&amp;AP38&amp;AQ38&amp;AR38&amp;AS38&amp;AT38&amp;AU38&amp;AV38&amp;AW38&amp;AX38&amp;AY38&amp;AZ38&amp;BA38&amp;BB38&amp;BC38&amp;AL39&amp;AM39&amp;AN39&amp;AO39&amp;AP39&amp;AQ39&amp;AR39&amp;AS39&amp;AT39&amp;AU39&amp;AV39&amp;AW39&amp;AX39&amp;AY39&amp;AZ39&amp;BA39&amp;BB39&amp;BC39&amp;CHAR(10)</f>
        <v xml:space="preserve">{"   4..20 LOOP   ","&lt;      S4      &gt;"},
</v>
      </c>
    </row>
    <row r="39" spans="1:56" x14ac:dyDescent="0.25">
      <c r="A39" s="1" t="s">
        <v>14</v>
      </c>
      <c r="H39" s="1" t="s">
        <v>2</v>
      </c>
      <c r="I39" s="1">
        <v>4</v>
      </c>
      <c r="P39" s="1" t="s">
        <v>15</v>
      </c>
      <c r="AL39" t="s">
        <v>44</v>
      </c>
      <c r="AM39" s="1" t="str">
        <f t="shared" si="14"/>
        <v>&lt;</v>
      </c>
      <c r="AN39" s="1" t="str">
        <f t="shared" si="14"/>
        <v xml:space="preserve"> </v>
      </c>
      <c r="AO39" s="1" t="str">
        <f t="shared" si="14"/>
        <v xml:space="preserve"> </v>
      </c>
      <c r="AP39" s="1" t="str">
        <f t="shared" si="14"/>
        <v xml:space="preserve"> </v>
      </c>
      <c r="AQ39" s="1" t="str">
        <f t="shared" si="14"/>
        <v xml:space="preserve"> </v>
      </c>
      <c r="AR39" s="1" t="str">
        <f t="shared" si="14"/>
        <v xml:space="preserve"> </v>
      </c>
      <c r="AS39" s="1" t="str">
        <f t="shared" si="14"/>
        <v xml:space="preserve"> </v>
      </c>
      <c r="AT39" s="1" t="str">
        <f t="shared" si="14"/>
        <v>S</v>
      </c>
      <c r="AU39" s="1">
        <f t="shared" si="14"/>
        <v>4</v>
      </c>
      <c r="AV39" s="1" t="str">
        <f t="shared" si="14"/>
        <v xml:space="preserve"> </v>
      </c>
      <c r="AW39" s="1" t="str">
        <f t="shared" si="14"/>
        <v xml:space="preserve"> </v>
      </c>
      <c r="AX39" s="1" t="str">
        <f t="shared" si="14"/>
        <v xml:space="preserve"> </v>
      </c>
      <c r="AY39" s="1" t="str">
        <f t="shared" si="14"/>
        <v xml:space="preserve"> </v>
      </c>
      <c r="AZ39" s="1" t="str">
        <f t="shared" si="14"/>
        <v xml:space="preserve"> </v>
      </c>
      <c r="BA39" s="1" t="str">
        <f t="shared" si="14"/>
        <v xml:space="preserve"> </v>
      </c>
      <c r="BB39" s="1" t="str">
        <f t="shared" si="14"/>
        <v>&gt;</v>
      </c>
      <c r="BC39" t="s">
        <v>45</v>
      </c>
    </row>
    <row r="41" spans="1:56" x14ac:dyDescent="0.25">
      <c r="D41" s="1">
        <v>4</v>
      </c>
      <c r="E41" s="1" t="s">
        <v>4</v>
      </c>
      <c r="F41" s="1" t="s">
        <v>4</v>
      </c>
      <c r="G41" s="1">
        <v>2</v>
      </c>
      <c r="H41" s="1">
        <v>0</v>
      </c>
      <c r="J41" s="1" t="s">
        <v>23</v>
      </c>
      <c r="K41" s="1" t="s">
        <v>19</v>
      </c>
      <c r="L41" s="1" t="s">
        <v>19</v>
      </c>
      <c r="M41" s="1" t="s">
        <v>11</v>
      </c>
      <c r="Q41" s="1">
        <v>13</v>
      </c>
      <c r="R41" s="1">
        <v>13</v>
      </c>
      <c r="S41" s="1">
        <v>14</v>
      </c>
      <c r="T41" s="13">
        <v>16</v>
      </c>
      <c r="U41" s="1">
        <v>13</v>
      </c>
      <c r="V41" s="1">
        <v>12</v>
      </c>
      <c r="W41" s="14">
        <v>5</v>
      </c>
      <c r="X41" s="1">
        <v>13</v>
      </c>
      <c r="Y41" s="16">
        <v>2</v>
      </c>
      <c r="Z41" s="1">
        <v>13</v>
      </c>
      <c r="AA41" s="1">
        <v>13</v>
      </c>
      <c r="AB41" s="1">
        <v>19</v>
      </c>
      <c r="AC41" s="1">
        <v>13</v>
      </c>
      <c r="AD41" s="1">
        <v>13</v>
      </c>
      <c r="AE41" s="17">
        <v>0</v>
      </c>
      <c r="AF41" s="1">
        <v>13</v>
      </c>
      <c r="AG41" s="18">
        <v>4</v>
      </c>
      <c r="AH41" t="str">
        <f>"{"&amp;R41&amp;","&amp;S41&amp;","&amp;T41&amp;","&amp;U41&amp;","&amp;V41&amp;","&amp;W41&amp;","&amp;X41&amp;","&amp;Y41&amp;","&amp;Z41&amp;","&amp;AA41&amp;","&amp;AB41&amp;","&amp;AC41&amp;","&amp;AD41&amp;","&amp;AE41&amp;","&amp;AF41&amp;","&amp;AG41&amp;"},"&amp;CHAR(10)</f>
        <v xml:space="preserve">{13,14,16,13,12,5,13,2,13,13,19,13,13,0,13,4},
</v>
      </c>
      <c r="AL41" t="s">
        <v>42</v>
      </c>
      <c r="AM41" s="1" t="str">
        <f t="shared" ref="AM41:BB42" si="15">IF(LEN(A41)=1,A41," ")</f>
        <v xml:space="preserve"> </v>
      </c>
      <c r="AN41" s="1" t="str">
        <f t="shared" si="15"/>
        <v xml:space="preserve"> </v>
      </c>
      <c r="AO41" s="1" t="str">
        <f t="shared" si="15"/>
        <v xml:space="preserve"> </v>
      </c>
      <c r="AP41" s="1">
        <f t="shared" si="15"/>
        <v>4</v>
      </c>
      <c r="AQ41" s="1" t="str">
        <f t="shared" si="15"/>
        <v>.</v>
      </c>
      <c r="AR41" s="1" t="str">
        <f t="shared" si="15"/>
        <v>.</v>
      </c>
      <c r="AS41" s="1">
        <f t="shared" si="15"/>
        <v>2</v>
      </c>
      <c r="AT41" s="1">
        <f t="shared" si="15"/>
        <v>0</v>
      </c>
      <c r="AU41" s="1" t="str">
        <f t="shared" si="15"/>
        <v xml:space="preserve"> </v>
      </c>
      <c r="AV41" s="1" t="str">
        <f t="shared" si="15"/>
        <v>L</v>
      </c>
      <c r="AW41" s="1" t="str">
        <f t="shared" si="15"/>
        <v>O</v>
      </c>
      <c r="AX41" s="1" t="str">
        <f t="shared" si="15"/>
        <v>O</v>
      </c>
      <c r="AY41" s="1" t="str">
        <f t="shared" si="15"/>
        <v>P</v>
      </c>
      <c r="AZ41" s="1" t="str">
        <f t="shared" si="15"/>
        <v xml:space="preserve"> </v>
      </c>
      <c r="BA41" s="1" t="str">
        <f t="shared" si="15"/>
        <v xml:space="preserve"> </v>
      </c>
      <c r="BB41" s="1" t="str">
        <f t="shared" si="15"/>
        <v xml:space="preserve"> </v>
      </c>
      <c r="BC41" t="s">
        <v>43</v>
      </c>
      <c r="BD41" s="1" t="str">
        <f>AL41&amp;AM41&amp;AN41&amp;AO41&amp;AP41&amp;AQ41&amp;AR41&amp;AS41&amp;AT41&amp;AU41&amp;AV41&amp;AW41&amp;AX41&amp;AY41&amp;AZ41&amp;BA41&amp;BB41&amp;BC41&amp;AL42&amp;AM42&amp;AN42&amp;AO42&amp;AP42&amp;AQ42&amp;AR42&amp;AS42&amp;AT42&amp;AU42&amp;AV42&amp;AW42&amp;AX42&amp;AY42&amp;AZ42&amp;BA42&amp;BB42&amp;BC42&amp;CHAR(10)</f>
        <v xml:space="preserve">{"   4..20 LOOP   ","&lt;      S5      &gt;"},
</v>
      </c>
    </row>
    <row r="42" spans="1:56" x14ac:dyDescent="0.25">
      <c r="A42" s="1" t="s">
        <v>14</v>
      </c>
      <c r="H42" s="1" t="s">
        <v>2</v>
      </c>
      <c r="I42" s="1">
        <v>5</v>
      </c>
      <c r="P42" s="1" t="s">
        <v>15</v>
      </c>
      <c r="AL42" t="s">
        <v>44</v>
      </c>
      <c r="AM42" s="1" t="str">
        <f t="shared" si="15"/>
        <v>&lt;</v>
      </c>
      <c r="AN42" s="1" t="str">
        <f t="shared" si="15"/>
        <v xml:space="preserve"> </v>
      </c>
      <c r="AO42" s="1" t="str">
        <f t="shared" si="15"/>
        <v xml:space="preserve"> </v>
      </c>
      <c r="AP42" s="1" t="str">
        <f t="shared" si="15"/>
        <v xml:space="preserve"> </v>
      </c>
      <c r="AQ42" s="1" t="str">
        <f t="shared" si="15"/>
        <v xml:space="preserve"> </v>
      </c>
      <c r="AR42" s="1" t="str">
        <f t="shared" si="15"/>
        <v xml:space="preserve"> </v>
      </c>
      <c r="AS42" s="1" t="str">
        <f t="shared" si="15"/>
        <v xml:space="preserve"> </v>
      </c>
      <c r="AT42" s="1" t="str">
        <f t="shared" si="15"/>
        <v>S</v>
      </c>
      <c r="AU42" s="1">
        <f t="shared" si="15"/>
        <v>5</v>
      </c>
      <c r="AV42" s="1" t="str">
        <f t="shared" si="15"/>
        <v xml:space="preserve"> </v>
      </c>
      <c r="AW42" s="1" t="str">
        <f t="shared" si="15"/>
        <v xml:space="preserve"> </v>
      </c>
      <c r="AX42" s="1" t="str">
        <f t="shared" si="15"/>
        <v xml:space="preserve"> </v>
      </c>
      <c r="AY42" s="1" t="str">
        <f t="shared" si="15"/>
        <v xml:space="preserve"> </v>
      </c>
      <c r="AZ42" s="1" t="str">
        <f t="shared" si="15"/>
        <v xml:space="preserve"> </v>
      </c>
      <c r="BA42" s="1" t="str">
        <f t="shared" si="15"/>
        <v xml:space="preserve"> </v>
      </c>
      <c r="BB42" s="1" t="str">
        <f t="shared" si="15"/>
        <v>&gt;</v>
      </c>
      <c r="BC42" t="s">
        <v>45</v>
      </c>
    </row>
    <row r="43" spans="1:56" x14ac:dyDescent="0.25">
      <c r="V43" s="19"/>
    </row>
    <row r="44" spans="1:56" x14ac:dyDescent="0.25">
      <c r="D44" s="1">
        <v>4</v>
      </c>
      <c r="E44" s="1" t="s">
        <v>4</v>
      </c>
      <c r="F44" s="1" t="s">
        <v>4</v>
      </c>
      <c r="G44" s="1">
        <v>2</v>
      </c>
      <c r="H44" s="1">
        <v>0</v>
      </c>
      <c r="J44" s="1" t="s">
        <v>23</v>
      </c>
      <c r="K44" s="1" t="s">
        <v>19</v>
      </c>
      <c r="L44" s="1" t="s">
        <v>19</v>
      </c>
      <c r="M44" s="1" t="s">
        <v>11</v>
      </c>
      <c r="Q44" s="1">
        <v>14</v>
      </c>
      <c r="R44" s="1">
        <v>14</v>
      </c>
      <c r="S44" s="1">
        <v>15</v>
      </c>
      <c r="T44" s="13">
        <v>16</v>
      </c>
      <c r="U44" s="1">
        <v>14</v>
      </c>
      <c r="V44" s="1">
        <v>13</v>
      </c>
      <c r="W44" s="14">
        <v>5</v>
      </c>
      <c r="X44" s="1">
        <v>14</v>
      </c>
      <c r="Y44" s="16">
        <v>2</v>
      </c>
      <c r="Z44" s="1">
        <v>14</v>
      </c>
      <c r="AA44" s="1">
        <v>14</v>
      </c>
      <c r="AB44" s="1">
        <v>19</v>
      </c>
      <c r="AC44" s="1">
        <v>14</v>
      </c>
      <c r="AD44" s="1">
        <v>14</v>
      </c>
      <c r="AE44" s="17">
        <v>0</v>
      </c>
      <c r="AF44" s="1">
        <v>14</v>
      </c>
      <c r="AG44" s="18">
        <v>4</v>
      </c>
      <c r="AH44" t="str">
        <f>"{"&amp;R44&amp;","&amp;S44&amp;","&amp;T44&amp;","&amp;U44&amp;","&amp;V44&amp;","&amp;W44&amp;","&amp;X44&amp;","&amp;Y44&amp;","&amp;Z44&amp;","&amp;AA44&amp;","&amp;AB44&amp;","&amp;AC44&amp;","&amp;AD44&amp;","&amp;AE44&amp;","&amp;AF44&amp;","&amp;AG44&amp;"},"&amp;CHAR(10)</f>
        <v xml:space="preserve">{14,15,16,14,13,5,14,2,14,14,19,14,14,0,14,4},
</v>
      </c>
      <c r="AL44" t="s">
        <v>42</v>
      </c>
      <c r="AM44" s="1" t="str">
        <f t="shared" ref="AM44:BB45" si="16">IF(LEN(A44)=1,A44," ")</f>
        <v xml:space="preserve"> </v>
      </c>
      <c r="AN44" s="1" t="str">
        <f t="shared" si="16"/>
        <v xml:space="preserve"> </v>
      </c>
      <c r="AO44" s="1" t="str">
        <f t="shared" si="16"/>
        <v xml:space="preserve"> </v>
      </c>
      <c r="AP44" s="1">
        <f t="shared" si="16"/>
        <v>4</v>
      </c>
      <c r="AQ44" s="1" t="str">
        <f t="shared" si="16"/>
        <v>.</v>
      </c>
      <c r="AR44" s="1" t="str">
        <f t="shared" si="16"/>
        <v>.</v>
      </c>
      <c r="AS44" s="1">
        <f t="shared" si="16"/>
        <v>2</v>
      </c>
      <c r="AT44" s="1">
        <f t="shared" si="16"/>
        <v>0</v>
      </c>
      <c r="AU44" s="1" t="str">
        <f t="shared" si="16"/>
        <v xml:space="preserve"> </v>
      </c>
      <c r="AV44" s="1" t="str">
        <f t="shared" si="16"/>
        <v>L</v>
      </c>
      <c r="AW44" s="1" t="str">
        <f t="shared" si="16"/>
        <v>O</v>
      </c>
      <c r="AX44" s="1" t="str">
        <f t="shared" si="16"/>
        <v>O</v>
      </c>
      <c r="AY44" s="1" t="str">
        <f t="shared" si="16"/>
        <v>P</v>
      </c>
      <c r="AZ44" s="1" t="str">
        <f t="shared" si="16"/>
        <v xml:space="preserve"> </v>
      </c>
      <c r="BA44" s="1" t="str">
        <f t="shared" si="16"/>
        <v xml:space="preserve"> </v>
      </c>
      <c r="BB44" s="1" t="str">
        <f t="shared" si="16"/>
        <v xml:space="preserve"> </v>
      </c>
      <c r="BC44" t="s">
        <v>43</v>
      </c>
      <c r="BD44" s="1" t="str">
        <f>AL44&amp;AM44&amp;AN44&amp;AO44&amp;AP44&amp;AQ44&amp;AR44&amp;AS44&amp;AT44&amp;AU44&amp;AV44&amp;AW44&amp;AX44&amp;AY44&amp;AZ44&amp;BA44&amp;BB44&amp;BC44&amp;AL45&amp;AM45&amp;AN45&amp;AO45&amp;AP45&amp;AQ45&amp;AR45&amp;AS45&amp;AT45&amp;AU45&amp;AV45&amp;AW45&amp;AX45&amp;AY45&amp;AZ45&amp;BA45&amp;BB45&amp;BC45&amp;CHAR(10)</f>
        <v xml:space="preserve">{"   4..20 LOOP   ","&lt;      S6      &gt;"},
</v>
      </c>
    </row>
    <row r="45" spans="1:56" x14ac:dyDescent="0.25">
      <c r="A45" s="1" t="s">
        <v>14</v>
      </c>
      <c r="H45" s="1" t="s">
        <v>2</v>
      </c>
      <c r="I45" s="1">
        <v>6</v>
      </c>
      <c r="P45" s="1" t="s">
        <v>15</v>
      </c>
      <c r="AL45" t="s">
        <v>44</v>
      </c>
      <c r="AM45" s="1" t="str">
        <f t="shared" si="16"/>
        <v>&lt;</v>
      </c>
      <c r="AN45" s="1" t="str">
        <f t="shared" si="16"/>
        <v xml:space="preserve"> </v>
      </c>
      <c r="AO45" s="1" t="str">
        <f t="shared" si="16"/>
        <v xml:space="preserve"> </v>
      </c>
      <c r="AP45" s="1" t="str">
        <f t="shared" si="16"/>
        <v xml:space="preserve"> </v>
      </c>
      <c r="AQ45" s="1" t="str">
        <f t="shared" si="16"/>
        <v xml:space="preserve"> </v>
      </c>
      <c r="AR45" s="1" t="str">
        <f t="shared" si="16"/>
        <v xml:space="preserve"> </v>
      </c>
      <c r="AS45" s="1" t="str">
        <f t="shared" si="16"/>
        <v xml:space="preserve"> </v>
      </c>
      <c r="AT45" s="1" t="str">
        <f t="shared" si="16"/>
        <v>S</v>
      </c>
      <c r="AU45" s="1">
        <f t="shared" si="16"/>
        <v>6</v>
      </c>
      <c r="AV45" s="1" t="str">
        <f t="shared" si="16"/>
        <v xml:space="preserve"> </v>
      </c>
      <c r="AW45" s="1" t="str">
        <f t="shared" si="16"/>
        <v xml:space="preserve"> </v>
      </c>
      <c r="AX45" s="1" t="str">
        <f t="shared" si="16"/>
        <v xml:space="preserve"> </v>
      </c>
      <c r="AY45" s="1" t="str">
        <f t="shared" si="16"/>
        <v xml:space="preserve"> </v>
      </c>
      <c r="AZ45" s="1" t="str">
        <f t="shared" si="16"/>
        <v xml:space="preserve"> </v>
      </c>
      <c r="BA45" s="1" t="str">
        <f t="shared" si="16"/>
        <v xml:space="preserve"> </v>
      </c>
      <c r="BB45" s="1" t="str">
        <f t="shared" si="16"/>
        <v>&gt;</v>
      </c>
      <c r="BC45" t="s">
        <v>45</v>
      </c>
    </row>
    <row r="47" spans="1:56" x14ac:dyDescent="0.25">
      <c r="D47" s="1">
        <v>4</v>
      </c>
      <c r="E47" s="1" t="s">
        <v>4</v>
      </c>
      <c r="F47" s="1" t="s">
        <v>4</v>
      </c>
      <c r="G47" s="1">
        <v>2</v>
      </c>
      <c r="H47" s="1">
        <v>0</v>
      </c>
      <c r="J47" s="1" t="s">
        <v>23</v>
      </c>
      <c r="K47" s="1" t="s">
        <v>19</v>
      </c>
      <c r="L47" s="1" t="s">
        <v>19</v>
      </c>
      <c r="M47" s="1" t="s">
        <v>11</v>
      </c>
      <c r="Q47" s="1">
        <v>15</v>
      </c>
      <c r="R47" s="1">
        <v>15</v>
      </c>
      <c r="S47" s="1">
        <v>8</v>
      </c>
      <c r="T47" s="13">
        <v>16</v>
      </c>
      <c r="U47" s="1">
        <v>15</v>
      </c>
      <c r="V47" s="1">
        <v>14</v>
      </c>
      <c r="W47" s="14">
        <v>5</v>
      </c>
      <c r="X47" s="1">
        <v>15</v>
      </c>
      <c r="Y47" s="16">
        <v>2</v>
      </c>
      <c r="Z47" s="1">
        <v>15</v>
      </c>
      <c r="AA47" s="1">
        <v>15</v>
      </c>
      <c r="AB47" s="1">
        <v>19</v>
      </c>
      <c r="AC47" s="1">
        <v>15</v>
      </c>
      <c r="AD47" s="1">
        <v>15</v>
      </c>
      <c r="AE47" s="17">
        <v>0</v>
      </c>
      <c r="AF47" s="1">
        <v>15</v>
      </c>
      <c r="AG47" s="18">
        <v>4</v>
      </c>
      <c r="AH47" t="str">
        <f>"{"&amp;R47&amp;","&amp;S47&amp;","&amp;T47&amp;","&amp;U47&amp;","&amp;V47&amp;","&amp;W47&amp;","&amp;X47&amp;","&amp;Y47&amp;","&amp;Z47&amp;","&amp;AA47&amp;","&amp;AB47&amp;","&amp;AC47&amp;","&amp;AD47&amp;","&amp;AE47&amp;","&amp;AF47&amp;","&amp;AG47&amp;"},"&amp;CHAR(10)</f>
        <v xml:space="preserve">{15,8,16,15,14,5,15,2,15,15,19,15,15,0,15,4},
</v>
      </c>
      <c r="AL47" t="s">
        <v>42</v>
      </c>
      <c r="AM47" s="1" t="str">
        <f t="shared" ref="AM47:BB48" si="17">IF(LEN(A47)=1,A47," ")</f>
        <v xml:space="preserve"> </v>
      </c>
      <c r="AN47" s="1" t="str">
        <f t="shared" si="17"/>
        <v xml:space="preserve"> </v>
      </c>
      <c r="AO47" s="1" t="str">
        <f t="shared" si="17"/>
        <v xml:space="preserve"> </v>
      </c>
      <c r="AP47" s="1">
        <f t="shared" si="17"/>
        <v>4</v>
      </c>
      <c r="AQ47" s="1" t="str">
        <f t="shared" si="17"/>
        <v>.</v>
      </c>
      <c r="AR47" s="1" t="str">
        <f t="shared" si="17"/>
        <v>.</v>
      </c>
      <c r="AS47" s="1">
        <f t="shared" si="17"/>
        <v>2</v>
      </c>
      <c r="AT47" s="1">
        <f t="shared" si="17"/>
        <v>0</v>
      </c>
      <c r="AU47" s="1" t="str">
        <f t="shared" si="17"/>
        <v xml:space="preserve"> </v>
      </c>
      <c r="AV47" s="1" t="str">
        <f t="shared" si="17"/>
        <v>L</v>
      </c>
      <c r="AW47" s="1" t="str">
        <f t="shared" si="17"/>
        <v>O</v>
      </c>
      <c r="AX47" s="1" t="str">
        <f t="shared" si="17"/>
        <v>O</v>
      </c>
      <c r="AY47" s="1" t="str">
        <f t="shared" si="17"/>
        <v>P</v>
      </c>
      <c r="AZ47" s="1" t="str">
        <f t="shared" si="17"/>
        <v xml:space="preserve"> </v>
      </c>
      <c r="BA47" s="1" t="str">
        <f t="shared" si="17"/>
        <v xml:space="preserve"> </v>
      </c>
      <c r="BB47" s="1" t="str">
        <f t="shared" si="17"/>
        <v xml:space="preserve"> </v>
      </c>
      <c r="BC47" t="s">
        <v>43</v>
      </c>
      <c r="BD47" s="1" t="str">
        <f>AL47&amp;AM47&amp;AN47&amp;AO47&amp;AP47&amp;AQ47&amp;AR47&amp;AS47&amp;AT47&amp;AU47&amp;AV47&amp;AW47&amp;AX47&amp;AY47&amp;AZ47&amp;BA47&amp;BB47&amp;BC47&amp;AL48&amp;AM48&amp;AN48&amp;AO48&amp;AP48&amp;AQ48&amp;AR48&amp;AS48&amp;AT48&amp;AU48&amp;AV48&amp;AW48&amp;AX48&amp;AY48&amp;AZ48&amp;BA48&amp;BB48&amp;BC48&amp;CHAR(10)</f>
        <v xml:space="preserve">{"   4..20 LOOP   ","&lt;      S7      &gt;"},
</v>
      </c>
    </row>
    <row r="48" spans="1:56" x14ac:dyDescent="0.25">
      <c r="A48" s="1" t="s">
        <v>14</v>
      </c>
      <c r="H48" s="1" t="s">
        <v>2</v>
      </c>
      <c r="I48" s="1">
        <v>7</v>
      </c>
      <c r="P48" s="1" t="s">
        <v>15</v>
      </c>
      <c r="AL48" t="s">
        <v>44</v>
      </c>
      <c r="AM48" s="1" t="str">
        <f t="shared" si="17"/>
        <v>&lt;</v>
      </c>
      <c r="AN48" s="1" t="str">
        <f t="shared" si="17"/>
        <v xml:space="preserve"> </v>
      </c>
      <c r="AO48" s="1" t="str">
        <f t="shared" si="17"/>
        <v xml:space="preserve"> </v>
      </c>
      <c r="AP48" s="1" t="str">
        <f t="shared" si="17"/>
        <v xml:space="preserve"> </v>
      </c>
      <c r="AQ48" s="1" t="str">
        <f t="shared" si="17"/>
        <v xml:space="preserve"> </v>
      </c>
      <c r="AR48" s="1" t="str">
        <f t="shared" si="17"/>
        <v xml:space="preserve"> </v>
      </c>
      <c r="AS48" s="1" t="str">
        <f t="shared" si="17"/>
        <v xml:space="preserve"> </v>
      </c>
      <c r="AT48" s="1" t="str">
        <f t="shared" si="17"/>
        <v>S</v>
      </c>
      <c r="AU48" s="1">
        <f t="shared" si="17"/>
        <v>7</v>
      </c>
      <c r="AV48" s="1" t="str">
        <f t="shared" si="17"/>
        <v xml:space="preserve"> </v>
      </c>
      <c r="AW48" s="1" t="str">
        <f t="shared" si="17"/>
        <v xml:space="preserve"> </v>
      </c>
      <c r="AX48" s="1" t="str">
        <f t="shared" si="17"/>
        <v xml:space="preserve"> </v>
      </c>
      <c r="AY48" s="1" t="str">
        <f t="shared" si="17"/>
        <v xml:space="preserve"> </v>
      </c>
      <c r="AZ48" s="1" t="str">
        <f t="shared" si="17"/>
        <v xml:space="preserve"> </v>
      </c>
      <c r="BA48" s="1" t="str">
        <f t="shared" si="17"/>
        <v xml:space="preserve"> </v>
      </c>
      <c r="BB48" s="1" t="str">
        <f t="shared" si="17"/>
        <v>&gt;</v>
      </c>
      <c r="BC48" t="s">
        <v>45</v>
      </c>
    </row>
    <row r="49" spans="1:56" x14ac:dyDescent="0.25">
      <c r="V49" s="19"/>
    </row>
    <row r="50" spans="1:56" x14ac:dyDescent="0.25">
      <c r="A50" s="1" t="s">
        <v>0</v>
      </c>
      <c r="B50" s="1" t="s">
        <v>50</v>
      </c>
      <c r="C50" s="1" t="s">
        <v>41</v>
      </c>
      <c r="D50" s="1" t="s">
        <v>8</v>
      </c>
      <c r="E50" s="1" t="s">
        <v>16</v>
      </c>
      <c r="F50" s="1" t="s">
        <v>19</v>
      </c>
      <c r="H50" s="1" t="s">
        <v>18</v>
      </c>
      <c r="I50" s="1" t="s">
        <v>8</v>
      </c>
      <c r="J50" s="1" t="s">
        <v>49</v>
      </c>
      <c r="K50" s="1" t="s">
        <v>11</v>
      </c>
      <c r="L50" s="1" t="s">
        <v>19</v>
      </c>
      <c r="M50" s="1" t="s">
        <v>0</v>
      </c>
      <c r="N50" s="1" t="s">
        <v>6</v>
      </c>
      <c r="O50" s="1" t="s">
        <v>19</v>
      </c>
      <c r="P50" s="1" t="s">
        <v>2</v>
      </c>
      <c r="Q50" s="1">
        <v>16</v>
      </c>
      <c r="R50" s="1">
        <v>16</v>
      </c>
      <c r="S50" s="1">
        <v>16</v>
      </c>
      <c r="T50" s="13">
        <v>17</v>
      </c>
      <c r="U50" s="1">
        <v>16</v>
      </c>
      <c r="V50" s="1">
        <v>16</v>
      </c>
      <c r="W50" s="14">
        <v>5</v>
      </c>
      <c r="X50" s="1">
        <v>16</v>
      </c>
      <c r="Y50" s="16">
        <v>2</v>
      </c>
      <c r="Z50" s="1">
        <v>16</v>
      </c>
      <c r="AA50" s="1">
        <v>16</v>
      </c>
      <c r="AB50" s="1">
        <v>16</v>
      </c>
      <c r="AC50" s="1">
        <v>16</v>
      </c>
      <c r="AD50" s="1">
        <v>16</v>
      </c>
      <c r="AE50" s="17">
        <v>0</v>
      </c>
      <c r="AF50" s="1">
        <v>16</v>
      </c>
      <c r="AG50" s="18">
        <v>4</v>
      </c>
      <c r="AH50" t="str">
        <f>"{"&amp;R50&amp;","&amp;S50&amp;","&amp;T50&amp;","&amp;U50&amp;","&amp;V50&amp;","&amp;W50&amp;","&amp;X50&amp;","&amp;Y50&amp;","&amp;Z50&amp;","&amp;AA50&amp;","&amp;AB50&amp;","&amp;AC50&amp;","&amp;AD50&amp;","&amp;AE50&amp;","&amp;AF50&amp;","&amp;AG50&amp;"},"&amp;CHAR(10)</f>
        <v xml:space="preserve">{16,16,17,16,16,5,16,2,16,16,16,16,16,0,16,4},
</v>
      </c>
      <c r="AL50" t="s">
        <v>42</v>
      </c>
      <c r="AM50" s="1" t="str">
        <f t="shared" ref="AM50:BB51" si="18">IF(LEN(A50)=1,A50," ")</f>
        <v>N</v>
      </c>
      <c r="AN50" s="1" t="str">
        <f t="shared" si="18"/>
        <v>U</v>
      </c>
      <c r="AO50" s="1" t="str">
        <f t="shared" si="18"/>
        <v>M</v>
      </c>
      <c r="AP50" s="1" t="str">
        <f t="shared" si="18"/>
        <v>E</v>
      </c>
      <c r="AQ50" s="1" t="str">
        <f t="shared" si="18"/>
        <v>R</v>
      </c>
      <c r="AR50" s="1" t="str">
        <f t="shared" si="18"/>
        <v>O</v>
      </c>
      <c r="AS50" s="1" t="str">
        <f t="shared" si="18"/>
        <v xml:space="preserve"> </v>
      </c>
      <c r="AT50" s="1" t="str">
        <f t="shared" si="18"/>
        <v>D</v>
      </c>
      <c r="AU50" s="1" t="str">
        <f t="shared" si="18"/>
        <v>E</v>
      </c>
      <c r="AV50" s="1" t="str">
        <f t="shared" si="18"/>
        <v xml:space="preserve"> </v>
      </c>
      <c r="AW50" s="1" t="str">
        <f t="shared" si="18"/>
        <v>P</v>
      </c>
      <c r="AX50" s="1" t="str">
        <f t="shared" si="18"/>
        <v>O</v>
      </c>
      <c r="AY50" s="1" t="str">
        <f t="shared" si="18"/>
        <v>N</v>
      </c>
      <c r="AZ50" s="1" t="str">
        <f t="shared" si="18"/>
        <v>T</v>
      </c>
      <c r="BA50" s="1" t="str">
        <f t="shared" si="18"/>
        <v>O</v>
      </c>
      <c r="BB50" s="1" t="str">
        <f t="shared" si="18"/>
        <v>S</v>
      </c>
      <c r="BC50" t="s">
        <v>43</v>
      </c>
      <c r="BD50" s="1" t="str">
        <f>AL50&amp;AM50&amp;AN50&amp;AO50&amp;AP50&amp;AQ50&amp;AR50&amp;AS50&amp;AT50&amp;AU50&amp;AV50&amp;AW50&amp;AX50&amp;AY50&amp;AZ50&amp;BA50&amp;BB50&amp;BC50&amp;AL51&amp;AM51&amp;AN51&amp;AO51&amp;AP51&amp;AQ51&amp;AR51&amp;AS51&amp;AT51&amp;AU51&amp;AV51&amp;AW51&amp;AX51&amp;AY51&amp;AZ51&amp;BA51&amp;BB51&amp;BC51&amp;CHAR(10)</f>
        <v xml:space="preserve">{"NUMERO DE PONTOS","&lt; n=1 2^n+1=000&gt;"},
</v>
      </c>
    </row>
    <row r="51" spans="1:56" x14ac:dyDescent="0.25">
      <c r="A51" s="1" t="s">
        <v>14</v>
      </c>
      <c r="C51" s="1" t="s">
        <v>52</v>
      </c>
      <c r="D51" s="1" t="s">
        <v>53</v>
      </c>
      <c r="E51" s="1">
        <v>1</v>
      </c>
      <c r="G51" s="1">
        <v>2</v>
      </c>
      <c r="H51" s="1" t="s">
        <v>51</v>
      </c>
      <c r="I51" s="1" t="s">
        <v>52</v>
      </c>
      <c r="J51" s="1" t="s">
        <v>54</v>
      </c>
      <c r="K51" s="1">
        <v>1</v>
      </c>
      <c r="L51" s="1" t="s">
        <v>53</v>
      </c>
      <c r="M51" s="1">
        <v>0</v>
      </c>
      <c r="N51" s="1">
        <v>0</v>
      </c>
      <c r="O51" s="1">
        <v>0</v>
      </c>
      <c r="P51" s="1" t="s">
        <v>15</v>
      </c>
      <c r="AL51" t="s">
        <v>44</v>
      </c>
      <c r="AM51" s="1" t="str">
        <f t="shared" si="18"/>
        <v>&lt;</v>
      </c>
      <c r="AN51" s="1" t="str">
        <f t="shared" si="18"/>
        <v xml:space="preserve"> </v>
      </c>
      <c r="AO51" s="1" t="str">
        <f t="shared" si="18"/>
        <v>n</v>
      </c>
      <c r="AP51" s="1" t="str">
        <f t="shared" si="18"/>
        <v>=</v>
      </c>
      <c r="AQ51" s="1">
        <f t="shared" si="18"/>
        <v>1</v>
      </c>
      <c r="AR51" s="1" t="str">
        <f t="shared" si="18"/>
        <v xml:space="preserve"> </v>
      </c>
      <c r="AS51" s="1">
        <f t="shared" si="18"/>
        <v>2</v>
      </c>
      <c r="AT51" s="1" t="str">
        <f t="shared" si="18"/>
        <v>^</v>
      </c>
      <c r="AU51" s="1" t="str">
        <f t="shared" si="18"/>
        <v>n</v>
      </c>
      <c r="AV51" s="1" t="str">
        <f t="shared" si="18"/>
        <v>+</v>
      </c>
      <c r="AW51" s="1">
        <f t="shared" si="18"/>
        <v>1</v>
      </c>
      <c r="AX51" s="1" t="str">
        <f t="shared" si="18"/>
        <v>=</v>
      </c>
      <c r="AY51" s="1">
        <f t="shared" si="18"/>
        <v>0</v>
      </c>
      <c r="AZ51" s="1">
        <f t="shared" si="18"/>
        <v>0</v>
      </c>
      <c r="BA51" s="1">
        <f t="shared" si="18"/>
        <v>0</v>
      </c>
      <c r="BB51" s="1" t="str">
        <f t="shared" si="18"/>
        <v>&gt;</v>
      </c>
      <c r="BC51" t="s">
        <v>45</v>
      </c>
    </row>
    <row r="53" spans="1:56" x14ac:dyDescent="0.25">
      <c r="A53" s="1" t="s">
        <v>11</v>
      </c>
      <c r="B53" s="1" t="s">
        <v>46</v>
      </c>
      <c r="C53" s="1">
        <v>0</v>
      </c>
      <c r="D53" s="1">
        <v>0</v>
      </c>
      <c r="E53" s="1">
        <v>0</v>
      </c>
      <c r="F53" s="1" t="s">
        <v>47</v>
      </c>
      <c r="H53" s="1" t="s">
        <v>53</v>
      </c>
      <c r="I53" s="1" t="s">
        <v>49</v>
      </c>
      <c r="J53" s="1">
        <v>0</v>
      </c>
      <c r="K53" s="1">
        <v>0</v>
      </c>
      <c r="L53" s="1" t="s">
        <v>4</v>
      </c>
      <c r="M53" s="1">
        <v>0</v>
      </c>
      <c r="N53" s="1">
        <v>0</v>
      </c>
      <c r="O53" s="1">
        <v>0</v>
      </c>
      <c r="P53" s="1" t="s">
        <v>62</v>
      </c>
      <c r="Q53" s="1">
        <v>17</v>
      </c>
      <c r="R53" s="1">
        <v>17</v>
      </c>
      <c r="S53" s="1">
        <v>17</v>
      </c>
      <c r="T53" s="13">
        <v>18</v>
      </c>
      <c r="U53" s="1">
        <v>17</v>
      </c>
      <c r="V53" s="1">
        <v>17</v>
      </c>
      <c r="W53" s="14">
        <v>5</v>
      </c>
      <c r="X53" s="1">
        <v>17</v>
      </c>
      <c r="Y53" s="16">
        <v>2</v>
      </c>
      <c r="Z53" s="1">
        <v>17</v>
      </c>
      <c r="AA53" s="1">
        <v>17</v>
      </c>
      <c r="AB53" s="1">
        <v>19</v>
      </c>
      <c r="AC53" s="1">
        <v>17</v>
      </c>
      <c r="AD53" s="1">
        <v>17</v>
      </c>
      <c r="AE53" s="17">
        <v>0</v>
      </c>
      <c r="AF53" s="1">
        <v>17</v>
      </c>
      <c r="AG53" s="18">
        <v>4</v>
      </c>
      <c r="AH53" t="str">
        <f>"{"&amp;R53&amp;","&amp;S53&amp;","&amp;T53&amp;","&amp;U53&amp;","&amp;V53&amp;","&amp;W53&amp;","&amp;X53&amp;","&amp;Y53&amp;","&amp;Z53&amp;","&amp;AA53&amp;","&amp;AB53&amp;","&amp;AC53&amp;","&amp;AD53&amp;","&amp;AE53&amp;","&amp;AF53&amp;","&amp;AG53&amp;"},"&amp;CHAR(10)</f>
        <v xml:space="preserve">{17,17,18,17,17,5,17,2,17,17,19,17,17,0,17,4},
</v>
      </c>
      <c r="AL53" t="s">
        <v>42</v>
      </c>
      <c r="AM53" s="1" t="str">
        <f t="shared" ref="AM53:BB54" si="19">IF(LEN(A53)=1,A53," ")</f>
        <v>P</v>
      </c>
      <c r="AN53" s="1" t="str">
        <f t="shared" si="19"/>
        <v>(</v>
      </c>
      <c r="AO53" s="1">
        <f t="shared" si="19"/>
        <v>0</v>
      </c>
      <c r="AP53" s="1">
        <f t="shared" si="19"/>
        <v>0</v>
      </c>
      <c r="AQ53" s="1">
        <f t="shared" si="19"/>
        <v>0</v>
      </c>
      <c r="AR53" s="1" t="str">
        <f t="shared" si="19"/>
        <v>)</v>
      </c>
      <c r="AS53" s="1" t="str">
        <f t="shared" si="19"/>
        <v xml:space="preserve"> </v>
      </c>
      <c r="AT53" s="1" t="str">
        <f t="shared" si="19"/>
        <v>=</v>
      </c>
      <c r="AU53" s="1" t="str">
        <f t="shared" si="19"/>
        <v xml:space="preserve"> </v>
      </c>
      <c r="AV53" s="1">
        <f t="shared" si="19"/>
        <v>0</v>
      </c>
      <c r="AW53" s="1">
        <f t="shared" si="19"/>
        <v>0</v>
      </c>
      <c r="AX53" s="1" t="str">
        <f t="shared" si="19"/>
        <v>.</v>
      </c>
      <c r="AY53" s="1">
        <f t="shared" si="19"/>
        <v>0</v>
      </c>
      <c r="AZ53" s="1">
        <f t="shared" si="19"/>
        <v>0</v>
      </c>
      <c r="BA53" s="1">
        <f t="shared" si="19"/>
        <v>0</v>
      </c>
      <c r="BB53" s="1" t="str">
        <f t="shared" si="19"/>
        <v xml:space="preserve"> </v>
      </c>
      <c r="BC53" t="s">
        <v>43</v>
      </c>
      <c r="BD53" s="1" t="str">
        <f>AL53&amp;AM53&amp;AN53&amp;AO53&amp;AP53&amp;AQ53&amp;AR53&amp;AS53&amp;AT53&amp;AU53&amp;AV53&amp;AW53&amp;AX53&amp;AY53&amp;AZ53&amp;BA53&amp;BB53&amp;BC53&amp;AL54&amp;AM54&amp;AN54&amp;AO54&amp;AP54&amp;AQ54&amp;AR54&amp;AS54&amp;AT54&amp;AU54&amp;AV54&amp;AW54&amp;AX54&amp;AY54&amp;AZ54&amp;BA54&amp;BB54&amp;BC54&amp;CHAR(10)</f>
        <v xml:space="preserve">{"P(000) = 00.000 ","&lt; 000 [OK] 000 &gt;"},
</v>
      </c>
    </row>
    <row r="54" spans="1:56" x14ac:dyDescent="0.25">
      <c r="A54" s="1" t="s">
        <v>14</v>
      </c>
      <c r="C54" s="1">
        <v>0</v>
      </c>
      <c r="D54" s="1">
        <v>0</v>
      </c>
      <c r="E54" s="1">
        <v>0</v>
      </c>
      <c r="G54" s="1" t="s">
        <v>63</v>
      </c>
      <c r="H54" s="1" t="s">
        <v>19</v>
      </c>
      <c r="I54" s="1" t="s">
        <v>55</v>
      </c>
      <c r="J54" s="1" t="s">
        <v>64</v>
      </c>
      <c r="L54" s="1">
        <v>0</v>
      </c>
      <c r="M54" s="1">
        <v>0</v>
      </c>
      <c r="N54" s="1">
        <v>0</v>
      </c>
      <c r="P54" s="1" t="s">
        <v>15</v>
      </c>
      <c r="AL54" t="s">
        <v>44</v>
      </c>
      <c r="AM54" s="1" t="str">
        <f t="shared" si="19"/>
        <v>&lt;</v>
      </c>
      <c r="AN54" s="1" t="str">
        <f t="shared" si="19"/>
        <v xml:space="preserve"> </v>
      </c>
      <c r="AO54" s="1">
        <f t="shared" si="19"/>
        <v>0</v>
      </c>
      <c r="AP54" s="1">
        <f t="shared" si="19"/>
        <v>0</v>
      </c>
      <c r="AQ54" s="1">
        <f t="shared" si="19"/>
        <v>0</v>
      </c>
      <c r="AR54" s="1" t="str">
        <f t="shared" si="19"/>
        <v xml:space="preserve"> </v>
      </c>
      <c r="AS54" s="1" t="str">
        <f t="shared" si="19"/>
        <v>[</v>
      </c>
      <c r="AT54" s="1" t="str">
        <f t="shared" si="19"/>
        <v>O</v>
      </c>
      <c r="AU54" s="1" t="str">
        <f t="shared" si="19"/>
        <v>K</v>
      </c>
      <c r="AV54" s="1" t="str">
        <f t="shared" si="19"/>
        <v>]</v>
      </c>
      <c r="AW54" s="1" t="str">
        <f t="shared" si="19"/>
        <v xml:space="preserve"> </v>
      </c>
      <c r="AX54" s="1">
        <f t="shared" si="19"/>
        <v>0</v>
      </c>
      <c r="AY54" s="1">
        <f t="shared" si="19"/>
        <v>0</v>
      </c>
      <c r="AZ54" s="1">
        <f t="shared" si="19"/>
        <v>0</v>
      </c>
      <c r="BA54" s="1" t="str">
        <f t="shared" si="19"/>
        <v xml:space="preserve"> </v>
      </c>
      <c r="BB54" s="1" t="str">
        <f t="shared" si="19"/>
        <v>&gt;</v>
      </c>
      <c r="BC54" t="s">
        <v>45</v>
      </c>
    </row>
    <row r="56" spans="1:56" x14ac:dyDescent="0.25">
      <c r="A56" s="1" t="s">
        <v>54</v>
      </c>
      <c r="B56" s="1">
        <v>0</v>
      </c>
      <c r="C56" s="1" t="s">
        <v>4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  <c r="M56" s="1" t="s">
        <v>60</v>
      </c>
      <c r="N56" s="1" t="s">
        <v>54</v>
      </c>
      <c r="O56" s="1">
        <v>0</v>
      </c>
      <c r="P56" s="1">
        <v>0</v>
      </c>
      <c r="Q56" s="1">
        <v>18</v>
      </c>
      <c r="R56" s="1">
        <v>18</v>
      </c>
      <c r="S56" s="1">
        <v>18</v>
      </c>
      <c r="T56" s="13">
        <v>17</v>
      </c>
      <c r="U56" s="1">
        <v>18</v>
      </c>
      <c r="V56" s="1">
        <v>18</v>
      </c>
      <c r="W56" s="14">
        <v>5</v>
      </c>
      <c r="X56" s="1">
        <v>18</v>
      </c>
      <c r="Y56" s="16">
        <v>2</v>
      </c>
      <c r="Z56" s="1">
        <v>18</v>
      </c>
      <c r="AA56" s="1">
        <v>18</v>
      </c>
      <c r="AB56" s="1">
        <v>18</v>
      </c>
      <c r="AC56" s="1">
        <v>18</v>
      </c>
      <c r="AD56" s="1">
        <v>18</v>
      </c>
      <c r="AE56" s="17">
        <v>0</v>
      </c>
      <c r="AF56" s="1">
        <v>18</v>
      </c>
      <c r="AG56" s="18">
        <v>4</v>
      </c>
      <c r="AH56" t="str">
        <f>"{"&amp;R56&amp;","&amp;S56&amp;","&amp;T56&amp;","&amp;U56&amp;","&amp;V56&amp;","&amp;W56&amp;","&amp;X56&amp;","&amp;Y56&amp;","&amp;Z56&amp;","&amp;AA56&amp;","&amp;AB56&amp;","&amp;AC56&amp;","&amp;AD56&amp;","&amp;AE56&amp;","&amp;AF56&amp;","&amp;AG56&amp;"},"&amp;CHAR(10)</f>
        <v xml:space="preserve">{18,18,17,18,18,5,18,2,18,18,18,18,18,0,18,4},
</v>
      </c>
      <c r="AL56" t="s">
        <v>42</v>
      </c>
      <c r="AM56" s="1" t="str">
        <f t="shared" ref="AM56:BB57" si="20">IF(LEN(A56)=1,A56," ")</f>
        <v>+</v>
      </c>
      <c r="AN56" s="1">
        <f t="shared" si="20"/>
        <v>0</v>
      </c>
      <c r="AO56" s="1" t="str">
        <f t="shared" si="20"/>
        <v>.</v>
      </c>
      <c r="AP56" s="1">
        <f t="shared" si="20"/>
        <v>0</v>
      </c>
      <c r="AQ56" s="1">
        <f t="shared" si="20"/>
        <v>0</v>
      </c>
      <c r="AR56" s="1">
        <f t="shared" si="20"/>
        <v>0</v>
      </c>
      <c r="AS56" s="1">
        <f t="shared" si="20"/>
        <v>0</v>
      </c>
      <c r="AT56" s="1">
        <f t="shared" si="20"/>
        <v>0</v>
      </c>
      <c r="AU56" s="1">
        <f t="shared" si="20"/>
        <v>0</v>
      </c>
      <c r="AV56" s="1">
        <f t="shared" si="20"/>
        <v>0</v>
      </c>
      <c r="AW56" s="1">
        <f t="shared" si="20"/>
        <v>0</v>
      </c>
      <c r="AX56" s="1">
        <f t="shared" si="20"/>
        <v>0</v>
      </c>
      <c r="AY56" s="1" t="str">
        <f t="shared" si="20"/>
        <v>@</v>
      </c>
      <c r="AZ56" s="1" t="str">
        <f t="shared" si="20"/>
        <v>+</v>
      </c>
      <c r="BA56" s="1">
        <f t="shared" si="20"/>
        <v>0</v>
      </c>
      <c r="BB56" s="1">
        <f t="shared" si="20"/>
        <v>0</v>
      </c>
      <c r="BC56" t="s">
        <v>43</v>
      </c>
      <c r="BD56" s="1" t="str">
        <f>AL56&amp;AM56&amp;AN56&amp;AO56&amp;AP56&amp;AQ56&amp;AR56&amp;AS56&amp;AT56&amp;AU56&amp;AV56&amp;AW56&amp;AX56&amp;AY56&amp;AZ56&amp;BA56&amp;BB56&amp;BC56&amp;AL57&amp;AM57&amp;AN57&amp;AO57&amp;AP57&amp;AQ57&amp;AR57&amp;AS57&amp;AT57&amp;AU57&amp;AV57&amp;AW57&amp;AX57&amp;AY57&amp;AZ57&amp;BA57&amp;BB57&amp;BC57&amp;CHAR(10)</f>
        <v xml:space="preserve">{"+0.000000000@+00","&lt;RUN&gt; &lt;OK&gt; &lt;A00&gt;"},
</v>
      </c>
    </row>
    <row r="57" spans="1:56" x14ac:dyDescent="0.25">
      <c r="A57" s="1" t="s">
        <v>14</v>
      </c>
      <c r="B57" s="1" t="s">
        <v>16</v>
      </c>
      <c r="C57" s="1" t="s">
        <v>50</v>
      </c>
      <c r="D57" s="1" t="s">
        <v>0</v>
      </c>
      <c r="E57" s="1" t="s">
        <v>15</v>
      </c>
      <c r="G57" s="1" t="s">
        <v>14</v>
      </c>
      <c r="H57" s="1" t="s">
        <v>19</v>
      </c>
      <c r="I57" s="1" t="s">
        <v>55</v>
      </c>
      <c r="J57" s="1" t="s">
        <v>15</v>
      </c>
      <c r="L57" s="1" t="s">
        <v>14</v>
      </c>
      <c r="M57" s="1" t="s">
        <v>12</v>
      </c>
      <c r="N57" s="1">
        <v>0</v>
      </c>
      <c r="O57" s="1">
        <v>0</v>
      </c>
      <c r="P57" s="1" t="s">
        <v>15</v>
      </c>
      <c r="AL57" t="s">
        <v>44</v>
      </c>
      <c r="AM57" s="1" t="str">
        <f t="shared" si="20"/>
        <v>&lt;</v>
      </c>
      <c r="AN57" s="1" t="str">
        <f t="shared" si="20"/>
        <v>R</v>
      </c>
      <c r="AO57" s="1" t="str">
        <f t="shared" si="20"/>
        <v>U</v>
      </c>
      <c r="AP57" s="1" t="str">
        <f t="shared" si="20"/>
        <v>N</v>
      </c>
      <c r="AQ57" s="1" t="str">
        <f t="shared" si="20"/>
        <v>&gt;</v>
      </c>
      <c r="AR57" s="1" t="str">
        <f t="shared" si="20"/>
        <v xml:space="preserve"> </v>
      </c>
      <c r="AS57" s="1" t="str">
        <f t="shared" si="20"/>
        <v>&lt;</v>
      </c>
      <c r="AT57" s="1" t="str">
        <f t="shared" si="20"/>
        <v>O</v>
      </c>
      <c r="AU57" s="1" t="str">
        <f t="shared" si="20"/>
        <v>K</v>
      </c>
      <c r="AV57" s="1" t="str">
        <f t="shared" si="20"/>
        <v>&gt;</v>
      </c>
      <c r="AW57" s="1" t="str">
        <f t="shared" si="20"/>
        <v xml:space="preserve"> </v>
      </c>
      <c r="AX57" s="1" t="str">
        <f t="shared" si="20"/>
        <v>&lt;</v>
      </c>
      <c r="AY57" s="1" t="str">
        <f t="shared" si="20"/>
        <v>A</v>
      </c>
      <c r="AZ57" s="1">
        <f t="shared" si="20"/>
        <v>0</v>
      </c>
      <c r="BA57" s="1">
        <f t="shared" si="20"/>
        <v>0</v>
      </c>
      <c r="BB57" s="1" t="str">
        <f t="shared" si="20"/>
        <v>&gt;</v>
      </c>
      <c r="BC57" t="s">
        <v>45</v>
      </c>
    </row>
    <row r="59" spans="1:56" x14ac:dyDescent="0.25">
      <c r="A59" s="1" t="s">
        <v>57</v>
      </c>
      <c r="B59" s="1" t="s">
        <v>54</v>
      </c>
      <c r="C59" s="1">
        <v>0</v>
      </c>
      <c r="D59" s="1" t="s">
        <v>4</v>
      </c>
      <c r="E59" s="1">
        <v>0</v>
      </c>
      <c r="F59" s="1">
        <v>0</v>
      </c>
      <c r="G59" s="1">
        <v>0</v>
      </c>
      <c r="H59" s="1">
        <v>0</v>
      </c>
      <c r="I59" s="1" t="s">
        <v>58</v>
      </c>
      <c r="J59" s="1" t="s">
        <v>54</v>
      </c>
      <c r="K59" s="1">
        <v>0</v>
      </c>
      <c r="L59" s="1" t="s">
        <v>4</v>
      </c>
      <c r="M59" s="1">
        <v>0</v>
      </c>
      <c r="N59" s="1">
        <v>0</v>
      </c>
      <c r="O59" s="1">
        <v>0</v>
      </c>
      <c r="P59" s="1">
        <v>0</v>
      </c>
      <c r="Q59" s="1">
        <v>19</v>
      </c>
      <c r="R59" s="1">
        <v>19</v>
      </c>
      <c r="S59" s="1">
        <v>19</v>
      </c>
      <c r="T59" s="13">
        <v>8</v>
      </c>
      <c r="U59" s="1">
        <v>19</v>
      </c>
      <c r="V59" s="1">
        <v>19</v>
      </c>
      <c r="W59" s="14">
        <v>5</v>
      </c>
      <c r="X59" s="1">
        <v>19</v>
      </c>
      <c r="Y59" s="16">
        <v>2</v>
      </c>
      <c r="Z59" s="1">
        <v>19</v>
      </c>
      <c r="AA59" s="1">
        <v>19</v>
      </c>
      <c r="AB59" s="1">
        <v>19</v>
      </c>
      <c r="AC59" s="1">
        <v>19</v>
      </c>
      <c r="AD59" s="1">
        <v>19</v>
      </c>
      <c r="AE59" s="17">
        <v>0</v>
      </c>
      <c r="AF59" s="1">
        <v>19</v>
      </c>
      <c r="AG59" s="18">
        <v>4</v>
      </c>
      <c r="AH59" t="str">
        <f>"{"&amp;R59&amp;","&amp;S59&amp;","&amp;T59&amp;","&amp;U59&amp;","&amp;V59&amp;","&amp;W59&amp;","&amp;X59&amp;","&amp;Y59&amp;","&amp;Z59&amp;","&amp;AA59&amp;","&amp;AB59&amp;","&amp;AC59&amp;","&amp;AD59&amp;","&amp;AE59&amp;","&amp;AF59&amp;","&amp;AG59&amp;"},"&amp;CHAR(10)</f>
        <v xml:space="preserve">{19,19,8,19,19,5,19,2,19,19,19,19,19,0,19,4},
</v>
      </c>
      <c r="AL59" t="s">
        <v>42</v>
      </c>
      <c r="AM59" s="1" t="str">
        <f t="shared" ref="AM59:BB60" si="21">IF(LEN(A59)=1,A59," ")</f>
        <v xml:space="preserve"> </v>
      </c>
      <c r="AN59" s="1" t="str">
        <f t="shared" si="21"/>
        <v>+</v>
      </c>
      <c r="AO59" s="1">
        <f t="shared" si="21"/>
        <v>0</v>
      </c>
      <c r="AP59" s="1" t="str">
        <f t="shared" si="21"/>
        <v>.</v>
      </c>
      <c r="AQ59" s="1">
        <f t="shared" si="21"/>
        <v>0</v>
      </c>
      <c r="AR59" s="1">
        <f t="shared" si="21"/>
        <v>0</v>
      </c>
      <c r="AS59" s="1">
        <f t="shared" si="21"/>
        <v>0</v>
      </c>
      <c r="AT59" s="1">
        <f t="shared" si="21"/>
        <v>0</v>
      </c>
      <c r="AU59" s="1" t="str">
        <f t="shared" si="21"/>
        <v xml:space="preserve"> </v>
      </c>
      <c r="AV59" s="1" t="str">
        <f t="shared" si="21"/>
        <v>+</v>
      </c>
      <c r="AW59" s="1">
        <f t="shared" si="21"/>
        <v>0</v>
      </c>
      <c r="AX59" s="1" t="str">
        <f t="shared" si="21"/>
        <v>.</v>
      </c>
      <c r="AY59" s="1">
        <f t="shared" si="21"/>
        <v>0</v>
      </c>
      <c r="AZ59" s="1">
        <f t="shared" si="21"/>
        <v>0</v>
      </c>
      <c r="BA59" s="1">
        <f t="shared" si="21"/>
        <v>0</v>
      </c>
      <c r="BB59" s="1">
        <f t="shared" si="21"/>
        <v>0</v>
      </c>
      <c r="BC59" t="s">
        <v>43</v>
      </c>
      <c r="BD59" s="1" t="str">
        <f>AL59&amp;AM59&amp;AN59&amp;AO59&amp;AP59&amp;AQ59&amp;AR59&amp;AS59&amp;AT59&amp;AU59&amp;AV59&amp;AW59&amp;AX59&amp;AY59&amp;AZ59&amp;BA59&amp;BB59&amp;BC59&amp;AL60&amp;AM60&amp;AN60&amp;AO60&amp;AP60&amp;AQ60&amp;AR60&amp;AS60&amp;AT60&amp;AU60&amp;AV60&amp;AW60&amp;AX60&amp;AY60&amp;AZ60&amp;BA60&amp;BB60&amp;BC60&amp;CHAR(10)</f>
        <v xml:space="preserve">{" +0.0000 +0.0000"," +0.0000r+0.0000"},
</v>
      </c>
    </row>
    <row r="60" spans="1:56" x14ac:dyDescent="0.25">
      <c r="A60" s="1" t="s">
        <v>59</v>
      </c>
      <c r="B60" s="1" t="s">
        <v>54</v>
      </c>
      <c r="C60" s="1">
        <v>0</v>
      </c>
      <c r="D60" s="1" t="s">
        <v>4</v>
      </c>
      <c r="E60" s="1">
        <v>0</v>
      </c>
      <c r="F60" s="1">
        <v>0</v>
      </c>
      <c r="G60" s="1">
        <v>0</v>
      </c>
      <c r="H60" s="1">
        <v>0</v>
      </c>
      <c r="I60" s="1" t="s">
        <v>56</v>
      </c>
      <c r="J60" s="1" t="s">
        <v>54</v>
      </c>
      <c r="K60" s="1">
        <v>0</v>
      </c>
      <c r="L60" s="1" t="s">
        <v>4</v>
      </c>
      <c r="M60" s="1">
        <v>0</v>
      </c>
      <c r="N60" s="1">
        <v>0</v>
      </c>
      <c r="O60" s="1">
        <v>0</v>
      </c>
      <c r="P60" s="1">
        <v>0</v>
      </c>
      <c r="AL60" t="s">
        <v>44</v>
      </c>
      <c r="AM60" s="1" t="str">
        <f t="shared" si="21"/>
        <v xml:space="preserve"> </v>
      </c>
      <c r="AN60" s="1" t="str">
        <f t="shared" si="21"/>
        <v>+</v>
      </c>
      <c r="AO60" s="1">
        <f t="shared" si="21"/>
        <v>0</v>
      </c>
      <c r="AP60" s="1" t="str">
        <f t="shared" si="21"/>
        <v>.</v>
      </c>
      <c r="AQ60" s="1">
        <f t="shared" si="21"/>
        <v>0</v>
      </c>
      <c r="AR60" s="1">
        <f t="shared" si="21"/>
        <v>0</v>
      </c>
      <c r="AS60" s="1">
        <f t="shared" si="21"/>
        <v>0</v>
      </c>
      <c r="AT60" s="1">
        <f t="shared" si="21"/>
        <v>0</v>
      </c>
      <c r="AU60" s="1" t="str">
        <f t="shared" si="21"/>
        <v>r</v>
      </c>
      <c r="AV60" s="1" t="str">
        <f t="shared" si="21"/>
        <v>+</v>
      </c>
      <c r="AW60" s="1">
        <f t="shared" si="21"/>
        <v>0</v>
      </c>
      <c r="AX60" s="1" t="str">
        <f t="shared" si="21"/>
        <v>.</v>
      </c>
      <c r="AY60" s="1">
        <f t="shared" si="21"/>
        <v>0</v>
      </c>
      <c r="AZ60" s="1">
        <f t="shared" si="21"/>
        <v>0</v>
      </c>
      <c r="BA60" s="1">
        <f t="shared" si="21"/>
        <v>0</v>
      </c>
      <c r="BB60" s="1">
        <f t="shared" si="21"/>
        <v>0</v>
      </c>
      <c r="BC60" t="s">
        <v>45</v>
      </c>
    </row>
    <row r="62" spans="1:56" x14ac:dyDescent="0.25">
      <c r="E62" s="1" t="s">
        <v>5</v>
      </c>
      <c r="F62" s="1" t="s">
        <v>19</v>
      </c>
      <c r="G62" s="1" t="s">
        <v>23</v>
      </c>
      <c r="H62" s="1" t="s">
        <v>6</v>
      </c>
      <c r="I62" s="1" t="s">
        <v>12</v>
      </c>
      <c r="J62" s="1" t="s">
        <v>24</v>
      </c>
      <c r="K62" s="1" t="s">
        <v>8</v>
      </c>
      <c r="L62" s="1" t="s">
        <v>41</v>
      </c>
      <c r="Q62" s="1">
        <v>20</v>
      </c>
      <c r="R62" s="1">
        <v>20</v>
      </c>
      <c r="S62" s="1">
        <v>21</v>
      </c>
      <c r="T62" s="13">
        <v>16</v>
      </c>
      <c r="U62" s="1">
        <v>20</v>
      </c>
      <c r="V62" s="1">
        <v>27</v>
      </c>
      <c r="W62" s="14">
        <v>5</v>
      </c>
      <c r="X62" s="1">
        <v>20</v>
      </c>
      <c r="Y62" s="16">
        <v>2</v>
      </c>
      <c r="Z62" s="1">
        <v>20</v>
      </c>
      <c r="AA62" s="1">
        <v>20</v>
      </c>
      <c r="AB62" s="1">
        <v>19</v>
      </c>
      <c r="AC62" s="1">
        <v>20</v>
      </c>
      <c r="AD62" s="1">
        <v>20</v>
      </c>
      <c r="AE62" s="17">
        <v>0</v>
      </c>
      <c r="AF62" s="1">
        <v>20</v>
      </c>
      <c r="AG62" s="18">
        <v>4</v>
      </c>
      <c r="AH62" t="str">
        <f>"{"&amp;R62&amp;","&amp;S62&amp;","&amp;T62&amp;","&amp;U62&amp;","&amp;V62&amp;","&amp;W62&amp;","&amp;X62&amp;","&amp;Y62&amp;","&amp;Z62&amp;","&amp;AA62&amp;","&amp;AB62&amp;","&amp;AC62&amp;","&amp;AD62&amp;","&amp;AE62&amp;","&amp;AF62&amp;","&amp;AG62&amp;"},"&amp;CHAR(10)</f>
        <v xml:space="preserve">{20,21,16,20,27,5,20,2,20,20,19,20,20,0,20,4},
</v>
      </c>
      <c r="AL62" t="s">
        <v>42</v>
      </c>
      <c r="AM62" s="1" t="str">
        <f t="shared" ref="AM62:BB63" si="22">IF(LEN(A62)=1,A62," ")</f>
        <v xml:space="preserve"> </v>
      </c>
      <c r="AN62" s="1" t="str">
        <f t="shared" si="22"/>
        <v xml:space="preserve"> </v>
      </c>
      <c r="AO62" s="1" t="str">
        <f t="shared" si="22"/>
        <v xml:space="preserve"> </v>
      </c>
      <c r="AP62" s="1" t="str">
        <f t="shared" si="22"/>
        <v xml:space="preserve"> </v>
      </c>
      <c r="AQ62" s="1" t="str">
        <f t="shared" si="22"/>
        <v>V</v>
      </c>
      <c r="AR62" s="1" t="str">
        <f t="shared" si="22"/>
        <v>O</v>
      </c>
      <c r="AS62" s="1" t="str">
        <f t="shared" si="22"/>
        <v>L</v>
      </c>
      <c r="AT62" s="1" t="str">
        <f t="shared" si="22"/>
        <v>T</v>
      </c>
      <c r="AU62" s="1" t="str">
        <f t="shared" si="22"/>
        <v>A</v>
      </c>
      <c r="AV62" s="1" t="str">
        <f t="shared" si="22"/>
        <v>G</v>
      </c>
      <c r="AW62" s="1" t="str">
        <f t="shared" si="22"/>
        <v>E</v>
      </c>
      <c r="AX62" s="1" t="str">
        <f t="shared" si="22"/>
        <v>M</v>
      </c>
      <c r="AY62" s="1" t="str">
        <f t="shared" si="22"/>
        <v xml:space="preserve"> </v>
      </c>
      <c r="AZ62" s="1" t="str">
        <f t="shared" si="22"/>
        <v xml:space="preserve"> </v>
      </c>
      <c r="BA62" s="1" t="str">
        <f t="shared" si="22"/>
        <v xml:space="preserve"> </v>
      </c>
      <c r="BB62" s="1" t="str">
        <f t="shared" si="22"/>
        <v xml:space="preserve"> </v>
      </c>
      <c r="BC62" t="s">
        <v>43</v>
      </c>
      <c r="BD62" s="1" t="str">
        <f>AL62&amp;AM62&amp;AN62&amp;AO62&amp;AP62&amp;AQ62&amp;AR62&amp;AS62&amp;AT62&amp;AU62&amp;AV62&amp;AW62&amp;AX62&amp;AY62&amp;AZ62&amp;BA62&amp;BB62&amp;BC62&amp;AL63&amp;AM63&amp;AN63&amp;AO63&amp;AP63&amp;AQ63&amp;AR63&amp;AS63&amp;AT63&amp;AU63&amp;AV63&amp;AW63&amp;AX63&amp;AY63&amp;AZ63&amp;BA63&amp;BB63&amp;BC63&amp;CHAR(10)</f>
        <v xml:space="preserve">{"    VOLTAGEM    ","&lt;      X0      &gt;"},
</v>
      </c>
    </row>
    <row r="63" spans="1:56" x14ac:dyDescent="0.25">
      <c r="A63" s="1" t="s">
        <v>14</v>
      </c>
      <c r="H63" s="1" t="s">
        <v>65</v>
      </c>
      <c r="I63" s="1">
        <v>0</v>
      </c>
      <c r="P63" s="1" t="s">
        <v>15</v>
      </c>
      <c r="AL63" t="s">
        <v>44</v>
      </c>
      <c r="AM63" s="1" t="str">
        <f t="shared" si="22"/>
        <v>&lt;</v>
      </c>
      <c r="AN63" s="1" t="str">
        <f t="shared" si="22"/>
        <v xml:space="preserve"> </v>
      </c>
      <c r="AO63" s="1" t="str">
        <f t="shared" si="22"/>
        <v xml:space="preserve"> </v>
      </c>
      <c r="AP63" s="1" t="str">
        <f t="shared" si="22"/>
        <v xml:space="preserve"> </v>
      </c>
      <c r="AQ63" s="1" t="str">
        <f t="shared" si="22"/>
        <v xml:space="preserve"> </v>
      </c>
      <c r="AR63" s="1" t="str">
        <f t="shared" si="22"/>
        <v xml:space="preserve"> </v>
      </c>
      <c r="AS63" s="1" t="str">
        <f t="shared" si="22"/>
        <v xml:space="preserve"> </v>
      </c>
      <c r="AT63" s="1" t="str">
        <f t="shared" si="22"/>
        <v>X</v>
      </c>
      <c r="AU63" s="1">
        <f t="shared" si="22"/>
        <v>0</v>
      </c>
      <c r="AV63" s="1" t="str">
        <f t="shared" si="22"/>
        <v xml:space="preserve"> </v>
      </c>
      <c r="AW63" s="1" t="str">
        <f t="shared" si="22"/>
        <v xml:space="preserve"> </v>
      </c>
      <c r="AX63" s="1" t="str">
        <f t="shared" si="22"/>
        <v xml:space="preserve"> </v>
      </c>
      <c r="AY63" s="1" t="str">
        <f t="shared" si="22"/>
        <v xml:space="preserve"> </v>
      </c>
      <c r="AZ63" s="1" t="str">
        <f t="shared" si="22"/>
        <v xml:space="preserve"> </v>
      </c>
      <c r="BA63" s="1" t="str">
        <f t="shared" si="22"/>
        <v xml:space="preserve"> </v>
      </c>
      <c r="BB63" s="1" t="str">
        <f t="shared" si="22"/>
        <v>&gt;</v>
      </c>
      <c r="BC63" t="s">
        <v>45</v>
      </c>
    </row>
    <row r="65" spans="1:56" x14ac:dyDescent="0.25">
      <c r="E65" s="1" t="s">
        <v>5</v>
      </c>
      <c r="F65" s="1" t="s">
        <v>19</v>
      </c>
      <c r="G65" s="1" t="s">
        <v>23</v>
      </c>
      <c r="H65" s="1" t="s">
        <v>6</v>
      </c>
      <c r="I65" s="1" t="s">
        <v>12</v>
      </c>
      <c r="J65" s="1" t="s">
        <v>24</v>
      </c>
      <c r="K65" s="1" t="s">
        <v>8</v>
      </c>
      <c r="L65" s="1" t="s">
        <v>41</v>
      </c>
      <c r="Q65" s="1">
        <v>21</v>
      </c>
      <c r="R65" s="1">
        <v>21</v>
      </c>
      <c r="S65" s="1">
        <v>22</v>
      </c>
      <c r="T65" s="13">
        <v>16</v>
      </c>
      <c r="U65" s="1">
        <v>21</v>
      </c>
      <c r="V65" s="1">
        <v>20</v>
      </c>
      <c r="W65" s="14">
        <v>5</v>
      </c>
      <c r="X65" s="1">
        <v>21</v>
      </c>
      <c r="Y65" s="16">
        <v>2</v>
      </c>
      <c r="Z65" s="1">
        <v>21</v>
      </c>
      <c r="AA65" s="1">
        <v>21</v>
      </c>
      <c r="AB65" s="1">
        <v>19</v>
      </c>
      <c r="AC65" s="1">
        <v>21</v>
      </c>
      <c r="AD65" s="1">
        <v>21</v>
      </c>
      <c r="AE65" s="17">
        <v>0</v>
      </c>
      <c r="AF65" s="1">
        <v>21</v>
      </c>
      <c r="AG65" s="18">
        <v>4</v>
      </c>
      <c r="AH65" t="str">
        <f>"{"&amp;R65&amp;","&amp;S65&amp;","&amp;T65&amp;","&amp;U65&amp;","&amp;V65&amp;","&amp;W65&amp;","&amp;X65&amp;","&amp;Y65&amp;","&amp;Z65&amp;","&amp;AA65&amp;","&amp;AB65&amp;","&amp;AC65&amp;","&amp;AD65&amp;","&amp;AE65&amp;","&amp;AF65&amp;","&amp;AG65&amp;"},"&amp;CHAR(10)</f>
        <v xml:space="preserve">{21,22,16,21,20,5,21,2,21,21,19,21,21,0,21,4},
</v>
      </c>
      <c r="AL65" t="s">
        <v>42</v>
      </c>
      <c r="AM65" s="1" t="str">
        <f t="shared" ref="AM65:BB66" si="23">IF(LEN(A65)=1,A65," ")</f>
        <v xml:space="preserve"> </v>
      </c>
      <c r="AN65" s="1" t="str">
        <f t="shared" si="23"/>
        <v xml:space="preserve"> </v>
      </c>
      <c r="AO65" s="1" t="str">
        <f t="shared" si="23"/>
        <v xml:space="preserve"> </v>
      </c>
      <c r="AP65" s="1" t="str">
        <f t="shared" si="23"/>
        <v xml:space="preserve"> </v>
      </c>
      <c r="AQ65" s="1" t="str">
        <f t="shared" si="23"/>
        <v>V</v>
      </c>
      <c r="AR65" s="1" t="str">
        <f t="shared" si="23"/>
        <v>O</v>
      </c>
      <c r="AS65" s="1" t="str">
        <f t="shared" si="23"/>
        <v>L</v>
      </c>
      <c r="AT65" s="1" t="str">
        <f t="shared" si="23"/>
        <v>T</v>
      </c>
      <c r="AU65" s="1" t="str">
        <f t="shared" si="23"/>
        <v>A</v>
      </c>
      <c r="AV65" s="1" t="str">
        <f t="shared" si="23"/>
        <v>G</v>
      </c>
      <c r="AW65" s="1" t="str">
        <f t="shared" si="23"/>
        <v>E</v>
      </c>
      <c r="AX65" s="1" t="str">
        <f t="shared" si="23"/>
        <v>M</v>
      </c>
      <c r="AY65" s="1" t="str">
        <f t="shared" si="23"/>
        <v xml:space="preserve"> </v>
      </c>
      <c r="AZ65" s="1" t="str">
        <f t="shared" si="23"/>
        <v xml:space="preserve"> </v>
      </c>
      <c r="BA65" s="1" t="str">
        <f t="shared" si="23"/>
        <v xml:space="preserve"> </v>
      </c>
      <c r="BB65" s="1" t="str">
        <f t="shared" si="23"/>
        <v xml:space="preserve"> </v>
      </c>
      <c r="BC65" t="s">
        <v>43</v>
      </c>
      <c r="BD65" s="1" t="str">
        <f>AL65&amp;AM65&amp;AN65&amp;AO65&amp;AP65&amp;AQ65&amp;AR65&amp;AS65&amp;AT65&amp;AU65&amp;AV65&amp;AW65&amp;AX65&amp;AY65&amp;AZ65&amp;BA65&amp;BB65&amp;BC65&amp;AL66&amp;AM66&amp;AN66&amp;AO66&amp;AP66&amp;AQ66&amp;AR66&amp;AS66&amp;AT66&amp;AU66&amp;AV66&amp;AW66&amp;AX66&amp;AY66&amp;AZ66&amp;BA66&amp;BB66&amp;BC66&amp;CHAR(10)</f>
        <v xml:space="preserve">{"    VOLTAGEM    ","&lt;      X1      &gt;"},
</v>
      </c>
    </row>
    <row r="66" spans="1:56" x14ac:dyDescent="0.25">
      <c r="A66" s="1" t="s">
        <v>14</v>
      </c>
      <c r="H66" s="1" t="s">
        <v>65</v>
      </c>
      <c r="I66" s="1">
        <v>1</v>
      </c>
      <c r="P66" s="1" t="s">
        <v>15</v>
      </c>
      <c r="AL66" t="s">
        <v>44</v>
      </c>
      <c r="AM66" s="1" t="str">
        <f t="shared" si="23"/>
        <v>&lt;</v>
      </c>
      <c r="AN66" s="1" t="str">
        <f t="shared" si="23"/>
        <v xml:space="preserve"> </v>
      </c>
      <c r="AO66" s="1" t="str">
        <f t="shared" si="23"/>
        <v xml:space="preserve"> </v>
      </c>
      <c r="AP66" s="1" t="str">
        <f t="shared" si="23"/>
        <v xml:space="preserve"> </v>
      </c>
      <c r="AQ66" s="1" t="str">
        <f t="shared" si="23"/>
        <v xml:space="preserve"> </v>
      </c>
      <c r="AR66" s="1" t="str">
        <f t="shared" si="23"/>
        <v xml:space="preserve"> </v>
      </c>
      <c r="AS66" s="1" t="str">
        <f t="shared" si="23"/>
        <v xml:space="preserve"> </v>
      </c>
      <c r="AT66" s="1" t="str">
        <f t="shared" si="23"/>
        <v>X</v>
      </c>
      <c r="AU66" s="1">
        <f t="shared" si="23"/>
        <v>1</v>
      </c>
      <c r="AV66" s="1" t="str">
        <f t="shared" si="23"/>
        <v xml:space="preserve"> </v>
      </c>
      <c r="AW66" s="1" t="str">
        <f t="shared" si="23"/>
        <v xml:space="preserve"> </v>
      </c>
      <c r="AX66" s="1" t="str">
        <f t="shared" si="23"/>
        <v xml:space="preserve"> </v>
      </c>
      <c r="AY66" s="1" t="str">
        <f t="shared" si="23"/>
        <v xml:space="preserve"> </v>
      </c>
      <c r="AZ66" s="1" t="str">
        <f t="shared" si="23"/>
        <v xml:space="preserve"> </v>
      </c>
      <c r="BA66" s="1" t="str">
        <f t="shared" si="23"/>
        <v xml:space="preserve"> </v>
      </c>
      <c r="BB66" s="1" t="str">
        <f t="shared" si="23"/>
        <v>&gt;</v>
      </c>
      <c r="BC66" t="s">
        <v>45</v>
      </c>
    </row>
    <row r="68" spans="1:56" x14ac:dyDescent="0.25">
      <c r="E68" s="1" t="s">
        <v>5</v>
      </c>
      <c r="F68" s="1" t="s">
        <v>19</v>
      </c>
      <c r="G68" s="1" t="s">
        <v>23</v>
      </c>
      <c r="H68" s="1" t="s">
        <v>6</v>
      </c>
      <c r="I68" s="1" t="s">
        <v>12</v>
      </c>
      <c r="J68" s="1" t="s">
        <v>24</v>
      </c>
      <c r="K68" s="1" t="s">
        <v>8</v>
      </c>
      <c r="L68" s="1" t="s">
        <v>41</v>
      </c>
      <c r="Q68" s="1">
        <v>22</v>
      </c>
      <c r="R68" s="1">
        <v>22</v>
      </c>
      <c r="S68" s="1">
        <v>23</v>
      </c>
      <c r="T68" s="13">
        <v>16</v>
      </c>
      <c r="U68" s="1">
        <v>22</v>
      </c>
      <c r="V68" s="1">
        <v>21</v>
      </c>
      <c r="W68" s="14">
        <v>5</v>
      </c>
      <c r="X68" s="1">
        <v>22</v>
      </c>
      <c r="Y68" s="16">
        <v>2</v>
      </c>
      <c r="Z68" s="1">
        <v>22</v>
      </c>
      <c r="AA68" s="1">
        <v>22</v>
      </c>
      <c r="AB68" s="1">
        <v>19</v>
      </c>
      <c r="AC68" s="1">
        <v>22</v>
      </c>
      <c r="AD68" s="1">
        <v>22</v>
      </c>
      <c r="AE68" s="17">
        <v>0</v>
      </c>
      <c r="AF68" s="1">
        <v>22</v>
      </c>
      <c r="AG68" s="18">
        <v>4</v>
      </c>
      <c r="AH68" t="str">
        <f>"{"&amp;R68&amp;","&amp;S68&amp;","&amp;T68&amp;","&amp;U68&amp;","&amp;V68&amp;","&amp;W68&amp;","&amp;X68&amp;","&amp;Y68&amp;","&amp;Z68&amp;","&amp;AA68&amp;","&amp;AB68&amp;","&amp;AC68&amp;","&amp;AD68&amp;","&amp;AE68&amp;","&amp;AF68&amp;","&amp;AG68&amp;"},"&amp;CHAR(10)</f>
        <v xml:space="preserve">{22,23,16,22,21,5,22,2,22,22,19,22,22,0,22,4},
</v>
      </c>
      <c r="AL68" t="s">
        <v>42</v>
      </c>
      <c r="AM68" s="1" t="str">
        <f t="shared" ref="AM68:BB69" si="24">IF(LEN(A68)=1,A68," ")</f>
        <v xml:space="preserve"> </v>
      </c>
      <c r="AN68" s="1" t="str">
        <f t="shared" si="24"/>
        <v xml:space="preserve"> </v>
      </c>
      <c r="AO68" s="1" t="str">
        <f t="shared" si="24"/>
        <v xml:space="preserve"> </v>
      </c>
      <c r="AP68" s="1" t="str">
        <f t="shared" si="24"/>
        <v xml:space="preserve"> </v>
      </c>
      <c r="AQ68" s="1" t="str">
        <f t="shared" si="24"/>
        <v>V</v>
      </c>
      <c r="AR68" s="1" t="str">
        <f t="shared" si="24"/>
        <v>O</v>
      </c>
      <c r="AS68" s="1" t="str">
        <f t="shared" si="24"/>
        <v>L</v>
      </c>
      <c r="AT68" s="1" t="str">
        <f t="shared" si="24"/>
        <v>T</v>
      </c>
      <c r="AU68" s="1" t="str">
        <f t="shared" si="24"/>
        <v>A</v>
      </c>
      <c r="AV68" s="1" t="str">
        <f t="shared" si="24"/>
        <v>G</v>
      </c>
      <c r="AW68" s="1" t="str">
        <f t="shared" si="24"/>
        <v>E</v>
      </c>
      <c r="AX68" s="1" t="str">
        <f t="shared" si="24"/>
        <v>M</v>
      </c>
      <c r="AY68" s="1" t="str">
        <f t="shared" si="24"/>
        <v xml:space="preserve"> </v>
      </c>
      <c r="AZ68" s="1" t="str">
        <f t="shared" si="24"/>
        <v xml:space="preserve"> </v>
      </c>
      <c r="BA68" s="1" t="str">
        <f t="shared" si="24"/>
        <v xml:space="preserve"> </v>
      </c>
      <c r="BB68" s="1" t="str">
        <f t="shared" si="24"/>
        <v xml:space="preserve"> </v>
      </c>
      <c r="BC68" t="s">
        <v>43</v>
      </c>
      <c r="BD68" s="1" t="str">
        <f>AL68&amp;AM68&amp;AN68&amp;AO68&amp;AP68&amp;AQ68&amp;AR68&amp;AS68&amp;AT68&amp;AU68&amp;AV68&amp;AW68&amp;AX68&amp;AY68&amp;AZ68&amp;BA68&amp;BB68&amp;BC68&amp;AL69&amp;AM69&amp;AN69&amp;AO69&amp;AP69&amp;AQ69&amp;AR69&amp;AS69&amp;AT69&amp;AU69&amp;AV69&amp;AW69&amp;AX69&amp;AY69&amp;AZ69&amp;BA69&amp;BB69&amp;BC69&amp;CHAR(10)</f>
        <v xml:space="preserve">{"    VOLTAGEM    ","&lt;      X2      &gt;"},
</v>
      </c>
    </row>
    <row r="69" spans="1:56" x14ac:dyDescent="0.25">
      <c r="A69" s="1" t="s">
        <v>14</v>
      </c>
      <c r="H69" s="1" t="s">
        <v>65</v>
      </c>
      <c r="I69" s="1">
        <v>2</v>
      </c>
      <c r="P69" s="1" t="s">
        <v>15</v>
      </c>
      <c r="AL69" t="s">
        <v>44</v>
      </c>
      <c r="AM69" s="1" t="str">
        <f t="shared" si="24"/>
        <v>&lt;</v>
      </c>
      <c r="AN69" s="1" t="str">
        <f t="shared" si="24"/>
        <v xml:space="preserve"> </v>
      </c>
      <c r="AO69" s="1" t="str">
        <f t="shared" si="24"/>
        <v xml:space="preserve"> </v>
      </c>
      <c r="AP69" s="1" t="str">
        <f t="shared" si="24"/>
        <v xml:space="preserve"> </v>
      </c>
      <c r="AQ69" s="1" t="str">
        <f t="shared" si="24"/>
        <v xml:space="preserve"> </v>
      </c>
      <c r="AR69" s="1" t="str">
        <f t="shared" si="24"/>
        <v xml:space="preserve"> </v>
      </c>
      <c r="AS69" s="1" t="str">
        <f t="shared" si="24"/>
        <v xml:space="preserve"> </v>
      </c>
      <c r="AT69" s="1" t="str">
        <f t="shared" si="24"/>
        <v>X</v>
      </c>
      <c r="AU69" s="1">
        <f t="shared" si="24"/>
        <v>2</v>
      </c>
      <c r="AV69" s="1" t="str">
        <f t="shared" si="24"/>
        <v xml:space="preserve"> </v>
      </c>
      <c r="AW69" s="1" t="str">
        <f t="shared" si="24"/>
        <v xml:space="preserve"> </v>
      </c>
      <c r="AX69" s="1" t="str">
        <f t="shared" si="24"/>
        <v xml:space="preserve"> </v>
      </c>
      <c r="AY69" s="1" t="str">
        <f t="shared" si="24"/>
        <v xml:space="preserve"> </v>
      </c>
      <c r="AZ69" s="1" t="str">
        <f t="shared" si="24"/>
        <v xml:space="preserve"> </v>
      </c>
      <c r="BA69" s="1" t="str">
        <f t="shared" si="24"/>
        <v xml:space="preserve"> </v>
      </c>
      <c r="BB69" s="1" t="str">
        <f t="shared" si="24"/>
        <v>&gt;</v>
      </c>
      <c r="BC69" t="s">
        <v>45</v>
      </c>
    </row>
    <row r="71" spans="1:56" x14ac:dyDescent="0.25">
      <c r="E71" s="1" t="s">
        <v>5</v>
      </c>
      <c r="F71" s="1" t="s">
        <v>19</v>
      </c>
      <c r="G71" s="1" t="s">
        <v>23</v>
      </c>
      <c r="H71" s="1" t="s">
        <v>6</v>
      </c>
      <c r="I71" s="1" t="s">
        <v>12</v>
      </c>
      <c r="J71" s="1" t="s">
        <v>24</v>
      </c>
      <c r="K71" s="1" t="s">
        <v>8</v>
      </c>
      <c r="L71" s="1" t="s">
        <v>41</v>
      </c>
      <c r="Q71" s="1">
        <v>23</v>
      </c>
      <c r="R71" s="1">
        <v>23</v>
      </c>
      <c r="S71" s="1">
        <v>24</v>
      </c>
      <c r="T71" s="13">
        <v>16</v>
      </c>
      <c r="U71" s="1">
        <v>23</v>
      </c>
      <c r="V71" s="1">
        <v>22</v>
      </c>
      <c r="W71" s="14">
        <v>5</v>
      </c>
      <c r="X71" s="1">
        <v>23</v>
      </c>
      <c r="Y71" s="16">
        <v>2</v>
      </c>
      <c r="Z71" s="1">
        <v>23</v>
      </c>
      <c r="AA71" s="1">
        <v>23</v>
      </c>
      <c r="AB71" s="1">
        <v>19</v>
      </c>
      <c r="AC71" s="1">
        <v>23</v>
      </c>
      <c r="AD71" s="1">
        <v>23</v>
      </c>
      <c r="AE71" s="17">
        <v>0</v>
      </c>
      <c r="AF71" s="1">
        <v>23</v>
      </c>
      <c r="AG71" s="18">
        <v>4</v>
      </c>
      <c r="AH71" t="str">
        <f>"{"&amp;R71&amp;","&amp;S71&amp;","&amp;T71&amp;","&amp;U71&amp;","&amp;V71&amp;","&amp;W71&amp;","&amp;X71&amp;","&amp;Y71&amp;","&amp;Z71&amp;","&amp;AA71&amp;","&amp;AB71&amp;","&amp;AC71&amp;","&amp;AD71&amp;","&amp;AE71&amp;","&amp;AF71&amp;","&amp;AG71&amp;"},"&amp;CHAR(10)</f>
        <v xml:space="preserve">{23,24,16,23,22,5,23,2,23,23,19,23,23,0,23,4},
</v>
      </c>
      <c r="AL71" t="s">
        <v>42</v>
      </c>
      <c r="AM71" s="1" t="str">
        <f t="shared" ref="AM71:BB72" si="25">IF(LEN(A71)=1,A71," ")</f>
        <v xml:space="preserve"> </v>
      </c>
      <c r="AN71" s="1" t="str">
        <f t="shared" si="25"/>
        <v xml:space="preserve"> </v>
      </c>
      <c r="AO71" s="1" t="str">
        <f t="shared" si="25"/>
        <v xml:space="preserve"> </v>
      </c>
      <c r="AP71" s="1" t="str">
        <f t="shared" si="25"/>
        <v xml:space="preserve"> </v>
      </c>
      <c r="AQ71" s="1" t="str">
        <f t="shared" si="25"/>
        <v>V</v>
      </c>
      <c r="AR71" s="1" t="str">
        <f t="shared" si="25"/>
        <v>O</v>
      </c>
      <c r="AS71" s="1" t="str">
        <f t="shared" si="25"/>
        <v>L</v>
      </c>
      <c r="AT71" s="1" t="str">
        <f t="shared" si="25"/>
        <v>T</v>
      </c>
      <c r="AU71" s="1" t="str">
        <f t="shared" si="25"/>
        <v>A</v>
      </c>
      <c r="AV71" s="1" t="str">
        <f t="shared" si="25"/>
        <v>G</v>
      </c>
      <c r="AW71" s="1" t="str">
        <f t="shared" si="25"/>
        <v>E</v>
      </c>
      <c r="AX71" s="1" t="str">
        <f t="shared" si="25"/>
        <v>M</v>
      </c>
      <c r="AY71" s="1" t="str">
        <f t="shared" si="25"/>
        <v xml:space="preserve"> </v>
      </c>
      <c r="AZ71" s="1" t="str">
        <f t="shared" si="25"/>
        <v xml:space="preserve"> </v>
      </c>
      <c r="BA71" s="1" t="str">
        <f t="shared" si="25"/>
        <v xml:space="preserve"> </v>
      </c>
      <c r="BB71" s="1" t="str">
        <f t="shared" si="25"/>
        <v xml:space="preserve"> </v>
      </c>
      <c r="BC71" t="s">
        <v>43</v>
      </c>
      <c r="BD71" s="1" t="str">
        <f>AL71&amp;AM71&amp;AN71&amp;AO71&amp;AP71&amp;AQ71&amp;AR71&amp;AS71&amp;AT71&amp;AU71&amp;AV71&amp;AW71&amp;AX71&amp;AY71&amp;AZ71&amp;BA71&amp;BB71&amp;BC71&amp;AL72&amp;AM72&amp;AN72&amp;AO72&amp;AP72&amp;AQ72&amp;AR72&amp;AS72&amp;AT72&amp;AU72&amp;AV72&amp;AW72&amp;AX72&amp;AY72&amp;AZ72&amp;BA72&amp;BB72&amp;BC72&amp;CHAR(10)</f>
        <v xml:space="preserve">{"    VOLTAGEM    ","&lt;      X3      &gt;"},
</v>
      </c>
    </row>
    <row r="72" spans="1:56" x14ac:dyDescent="0.25">
      <c r="A72" s="1" t="s">
        <v>14</v>
      </c>
      <c r="H72" s="1" t="s">
        <v>65</v>
      </c>
      <c r="I72" s="1">
        <v>3</v>
      </c>
      <c r="P72" s="1" t="s">
        <v>15</v>
      </c>
      <c r="AL72" t="s">
        <v>44</v>
      </c>
      <c r="AM72" s="1" t="str">
        <f t="shared" si="25"/>
        <v>&lt;</v>
      </c>
      <c r="AN72" s="1" t="str">
        <f t="shared" si="25"/>
        <v xml:space="preserve"> </v>
      </c>
      <c r="AO72" s="1" t="str">
        <f t="shared" si="25"/>
        <v xml:space="preserve"> </v>
      </c>
      <c r="AP72" s="1" t="str">
        <f t="shared" si="25"/>
        <v xml:space="preserve"> </v>
      </c>
      <c r="AQ72" s="1" t="str">
        <f t="shared" si="25"/>
        <v xml:space="preserve"> </v>
      </c>
      <c r="AR72" s="1" t="str">
        <f t="shared" si="25"/>
        <v xml:space="preserve"> </v>
      </c>
      <c r="AS72" s="1" t="str">
        <f t="shared" si="25"/>
        <v xml:space="preserve"> </v>
      </c>
      <c r="AT72" s="1" t="str">
        <f t="shared" si="25"/>
        <v>X</v>
      </c>
      <c r="AU72" s="1">
        <f t="shared" si="25"/>
        <v>3</v>
      </c>
      <c r="AV72" s="1" t="str">
        <f t="shared" si="25"/>
        <v xml:space="preserve"> </v>
      </c>
      <c r="AW72" s="1" t="str">
        <f t="shared" si="25"/>
        <v xml:space="preserve"> </v>
      </c>
      <c r="AX72" s="1" t="str">
        <f t="shared" si="25"/>
        <v xml:space="preserve"> </v>
      </c>
      <c r="AY72" s="1" t="str">
        <f t="shared" si="25"/>
        <v xml:space="preserve"> </v>
      </c>
      <c r="AZ72" s="1" t="str">
        <f t="shared" si="25"/>
        <v xml:space="preserve"> </v>
      </c>
      <c r="BA72" s="1" t="str">
        <f t="shared" si="25"/>
        <v xml:space="preserve"> </v>
      </c>
      <c r="BB72" s="1" t="str">
        <f t="shared" si="25"/>
        <v>&gt;</v>
      </c>
      <c r="BC72" t="s">
        <v>45</v>
      </c>
    </row>
    <row r="74" spans="1:56" x14ac:dyDescent="0.25">
      <c r="E74" s="1" t="s">
        <v>5</v>
      </c>
      <c r="F74" s="1" t="s">
        <v>19</v>
      </c>
      <c r="G74" s="1" t="s">
        <v>23</v>
      </c>
      <c r="H74" s="1" t="s">
        <v>6</v>
      </c>
      <c r="I74" s="1" t="s">
        <v>12</v>
      </c>
      <c r="J74" s="1" t="s">
        <v>24</v>
      </c>
      <c r="K74" s="1" t="s">
        <v>8</v>
      </c>
      <c r="L74" s="1" t="s">
        <v>41</v>
      </c>
      <c r="Q74" s="1">
        <v>24</v>
      </c>
      <c r="R74" s="1">
        <v>24</v>
      </c>
      <c r="S74" s="1">
        <v>25</v>
      </c>
      <c r="T74" s="13">
        <v>16</v>
      </c>
      <c r="U74" s="1">
        <v>24</v>
      </c>
      <c r="V74" s="1">
        <v>23</v>
      </c>
      <c r="W74" s="14">
        <v>5</v>
      </c>
      <c r="X74" s="1">
        <v>24</v>
      </c>
      <c r="Y74" s="16">
        <v>2</v>
      </c>
      <c r="Z74" s="1">
        <v>24</v>
      </c>
      <c r="AA74" s="1">
        <v>24</v>
      </c>
      <c r="AB74" s="1">
        <v>19</v>
      </c>
      <c r="AC74" s="1">
        <v>24</v>
      </c>
      <c r="AD74" s="1">
        <v>24</v>
      </c>
      <c r="AE74" s="17">
        <v>0</v>
      </c>
      <c r="AF74" s="1">
        <v>24</v>
      </c>
      <c r="AG74" s="18">
        <v>4</v>
      </c>
      <c r="AH74" t="str">
        <f>"{"&amp;R74&amp;","&amp;S74&amp;","&amp;T74&amp;","&amp;U74&amp;","&amp;V74&amp;","&amp;W74&amp;","&amp;X74&amp;","&amp;Y74&amp;","&amp;Z74&amp;","&amp;AA74&amp;","&amp;AB74&amp;","&amp;AC74&amp;","&amp;AD74&amp;","&amp;AE74&amp;","&amp;AF74&amp;","&amp;AG74&amp;"},"&amp;CHAR(10)</f>
        <v xml:space="preserve">{24,25,16,24,23,5,24,2,24,24,19,24,24,0,24,4},
</v>
      </c>
      <c r="AL74" t="s">
        <v>42</v>
      </c>
      <c r="AM74" s="1" t="str">
        <f t="shared" ref="AM74:BB75" si="26">IF(LEN(A74)=1,A74," ")</f>
        <v xml:space="preserve"> </v>
      </c>
      <c r="AN74" s="1" t="str">
        <f t="shared" si="26"/>
        <v xml:space="preserve"> </v>
      </c>
      <c r="AO74" s="1" t="str">
        <f t="shared" si="26"/>
        <v xml:space="preserve"> </v>
      </c>
      <c r="AP74" s="1" t="str">
        <f t="shared" si="26"/>
        <v xml:space="preserve"> </v>
      </c>
      <c r="AQ74" s="1" t="str">
        <f t="shared" si="26"/>
        <v>V</v>
      </c>
      <c r="AR74" s="1" t="str">
        <f t="shared" si="26"/>
        <v>O</v>
      </c>
      <c r="AS74" s="1" t="str">
        <f t="shared" si="26"/>
        <v>L</v>
      </c>
      <c r="AT74" s="1" t="str">
        <f t="shared" si="26"/>
        <v>T</v>
      </c>
      <c r="AU74" s="1" t="str">
        <f t="shared" si="26"/>
        <v>A</v>
      </c>
      <c r="AV74" s="1" t="str">
        <f t="shared" si="26"/>
        <v>G</v>
      </c>
      <c r="AW74" s="1" t="str">
        <f t="shared" si="26"/>
        <v>E</v>
      </c>
      <c r="AX74" s="1" t="str">
        <f t="shared" si="26"/>
        <v>M</v>
      </c>
      <c r="AY74" s="1" t="str">
        <f t="shared" si="26"/>
        <v xml:space="preserve"> </v>
      </c>
      <c r="AZ74" s="1" t="str">
        <f t="shared" si="26"/>
        <v xml:space="preserve"> </v>
      </c>
      <c r="BA74" s="1" t="str">
        <f t="shared" si="26"/>
        <v xml:space="preserve"> </v>
      </c>
      <c r="BB74" s="1" t="str">
        <f t="shared" si="26"/>
        <v xml:space="preserve"> </v>
      </c>
      <c r="BC74" t="s">
        <v>43</v>
      </c>
      <c r="BD74" s="1" t="str">
        <f>AL74&amp;AM74&amp;AN74&amp;AO74&amp;AP74&amp;AQ74&amp;AR74&amp;AS74&amp;AT74&amp;AU74&amp;AV74&amp;AW74&amp;AX74&amp;AY74&amp;AZ74&amp;BA74&amp;BB74&amp;BC74&amp;AL75&amp;AM75&amp;AN75&amp;AO75&amp;AP75&amp;AQ75&amp;AR75&amp;AS75&amp;AT75&amp;AU75&amp;AV75&amp;AW75&amp;AX75&amp;AY75&amp;AZ75&amp;BA75&amp;BB75&amp;BC75&amp;CHAR(10)</f>
        <v xml:space="preserve">{"    VOLTAGEM    ","&lt;      X4      &gt;"},
</v>
      </c>
    </row>
    <row r="75" spans="1:56" x14ac:dyDescent="0.25">
      <c r="A75" s="1" t="s">
        <v>14</v>
      </c>
      <c r="H75" s="1" t="s">
        <v>65</v>
      </c>
      <c r="I75" s="1">
        <v>4</v>
      </c>
      <c r="P75" s="1" t="s">
        <v>15</v>
      </c>
      <c r="AL75" t="s">
        <v>44</v>
      </c>
      <c r="AM75" s="1" t="str">
        <f t="shared" si="26"/>
        <v>&lt;</v>
      </c>
      <c r="AN75" s="1" t="str">
        <f t="shared" si="26"/>
        <v xml:space="preserve"> </v>
      </c>
      <c r="AO75" s="1" t="str">
        <f t="shared" si="26"/>
        <v xml:space="preserve"> </v>
      </c>
      <c r="AP75" s="1" t="str">
        <f t="shared" si="26"/>
        <v xml:space="preserve"> </v>
      </c>
      <c r="AQ75" s="1" t="str">
        <f t="shared" si="26"/>
        <v xml:space="preserve"> </v>
      </c>
      <c r="AR75" s="1" t="str">
        <f t="shared" si="26"/>
        <v xml:space="preserve"> </v>
      </c>
      <c r="AS75" s="1" t="str">
        <f t="shared" si="26"/>
        <v xml:space="preserve"> </v>
      </c>
      <c r="AT75" s="1" t="str">
        <f t="shared" si="26"/>
        <v>X</v>
      </c>
      <c r="AU75" s="1">
        <f t="shared" si="26"/>
        <v>4</v>
      </c>
      <c r="AV75" s="1" t="str">
        <f t="shared" si="26"/>
        <v xml:space="preserve"> </v>
      </c>
      <c r="AW75" s="1" t="str">
        <f t="shared" si="26"/>
        <v xml:space="preserve"> </v>
      </c>
      <c r="AX75" s="1" t="str">
        <f t="shared" si="26"/>
        <v xml:space="preserve"> </v>
      </c>
      <c r="AY75" s="1" t="str">
        <f t="shared" si="26"/>
        <v xml:space="preserve"> </v>
      </c>
      <c r="AZ75" s="1" t="str">
        <f t="shared" si="26"/>
        <v xml:space="preserve"> </v>
      </c>
      <c r="BA75" s="1" t="str">
        <f t="shared" si="26"/>
        <v xml:space="preserve"> </v>
      </c>
      <c r="BB75" s="1" t="str">
        <f t="shared" si="26"/>
        <v>&gt;</v>
      </c>
      <c r="BC75" t="s">
        <v>45</v>
      </c>
    </row>
    <row r="77" spans="1:56" x14ac:dyDescent="0.25">
      <c r="E77" s="1" t="s">
        <v>5</v>
      </c>
      <c r="F77" s="1" t="s">
        <v>19</v>
      </c>
      <c r="G77" s="1" t="s">
        <v>23</v>
      </c>
      <c r="H77" s="1" t="s">
        <v>6</v>
      </c>
      <c r="I77" s="1" t="s">
        <v>12</v>
      </c>
      <c r="J77" s="1" t="s">
        <v>24</v>
      </c>
      <c r="K77" s="1" t="s">
        <v>8</v>
      </c>
      <c r="L77" s="1" t="s">
        <v>41</v>
      </c>
      <c r="Q77" s="1">
        <v>25</v>
      </c>
      <c r="R77" s="1">
        <v>25</v>
      </c>
      <c r="S77" s="1">
        <v>26</v>
      </c>
      <c r="T77" s="13">
        <v>16</v>
      </c>
      <c r="U77" s="1">
        <v>25</v>
      </c>
      <c r="V77" s="1">
        <v>24</v>
      </c>
      <c r="W77" s="14">
        <v>5</v>
      </c>
      <c r="X77" s="1">
        <v>25</v>
      </c>
      <c r="Y77" s="16">
        <v>2</v>
      </c>
      <c r="Z77" s="1">
        <v>25</v>
      </c>
      <c r="AA77" s="1">
        <v>25</v>
      </c>
      <c r="AB77" s="1">
        <v>19</v>
      </c>
      <c r="AC77" s="1">
        <v>25</v>
      </c>
      <c r="AD77" s="1">
        <v>25</v>
      </c>
      <c r="AE77" s="17">
        <v>0</v>
      </c>
      <c r="AF77" s="1">
        <v>25</v>
      </c>
      <c r="AG77" s="18">
        <v>4</v>
      </c>
      <c r="AH77" t="str">
        <f>"{"&amp;R77&amp;","&amp;S77&amp;","&amp;T77&amp;","&amp;U77&amp;","&amp;V77&amp;","&amp;W77&amp;","&amp;X77&amp;","&amp;Y77&amp;","&amp;Z77&amp;","&amp;AA77&amp;","&amp;AB77&amp;","&amp;AC77&amp;","&amp;AD77&amp;","&amp;AE77&amp;","&amp;AF77&amp;","&amp;AG77&amp;"},"&amp;CHAR(10)</f>
        <v xml:space="preserve">{25,26,16,25,24,5,25,2,25,25,19,25,25,0,25,4},
</v>
      </c>
      <c r="AL77" t="s">
        <v>42</v>
      </c>
      <c r="AM77" s="1" t="str">
        <f t="shared" ref="AM77:BB78" si="27">IF(LEN(A77)=1,A77," ")</f>
        <v xml:space="preserve"> </v>
      </c>
      <c r="AN77" s="1" t="str">
        <f t="shared" si="27"/>
        <v xml:space="preserve"> </v>
      </c>
      <c r="AO77" s="1" t="str">
        <f t="shared" si="27"/>
        <v xml:space="preserve"> </v>
      </c>
      <c r="AP77" s="1" t="str">
        <f t="shared" si="27"/>
        <v xml:space="preserve"> </v>
      </c>
      <c r="AQ77" s="1" t="str">
        <f t="shared" si="27"/>
        <v>V</v>
      </c>
      <c r="AR77" s="1" t="str">
        <f t="shared" si="27"/>
        <v>O</v>
      </c>
      <c r="AS77" s="1" t="str">
        <f t="shared" si="27"/>
        <v>L</v>
      </c>
      <c r="AT77" s="1" t="str">
        <f t="shared" si="27"/>
        <v>T</v>
      </c>
      <c r="AU77" s="1" t="str">
        <f t="shared" si="27"/>
        <v>A</v>
      </c>
      <c r="AV77" s="1" t="str">
        <f t="shared" si="27"/>
        <v>G</v>
      </c>
      <c r="AW77" s="1" t="str">
        <f t="shared" si="27"/>
        <v>E</v>
      </c>
      <c r="AX77" s="1" t="str">
        <f t="shared" si="27"/>
        <v>M</v>
      </c>
      <c r="AY77" s="1" t="str">
        <f t="shared" si="27"/>
        <v xml:space="preserve"> </v>
      </c>
      <c r="AZ77" s="1" t="str">
        <f t="shared" si="27"/>
        <v xml:space="preserve"> </v>
      </c>
      <c r="BA77" s="1" t="str">
        <f t="shared" si="27"/>
        <v xml:space="preserve"> </v>
      </c>
      <c r="BB77" s="1" t="str">
        <f t="shared" si="27"/>
        <v xml:space="preserve"> </v>
      </c>
      <c r="BC77" t="s">
        <v>43</v>
      </c>
      <c r="BD77" s="1" t="str">
        <f>AL77&amp;AM77&amp;AN77&amp;AO77&amp;AP77&amp;AQ77&amp;AR77&amp;AS77&amp;AT77&amp;AU77&amp;AV77&amp;AW77&amp;AX77&amp;AY77&amp;AZ77&amp;BA77&amp;BB77&amp;BC77&amp;AL78&amp;AM78&amp;AN78&amp;AO78&amp;AP78&amp;AQ78&amp;AR78&amp;AS78&amp;AT78&amp;AU78&amp;AV78&amp;AW78&amp;AX78&amp;AY78&amp;AZ78&amp;BA78&amp;BB78&amp;BC78&amp;CHAR(10)</f>
        <v xml:space="preserve">{"    VOLTAGEM    ","&lt;      X5      &gt;"},
</v>
      </c>
    </row>
    <row r="78" spans="1:56" x14ac:dyDescent="0.25">
      <c r="A78" s="1" t="s">
        <v>14</v>
      </c>
      <c r="H78" s="1" t="s">
        <v>65</v>
      </c>
      <c r="I78" s="1">
        <v>5</v>
      </c>
      <c r="P78" s="1" t="s">
        <v>15</v>
      </c>
      <c r="AL78" t="s">
        <v>44</v>
      </c>
      <c r="AM78" s="1" t="str">
        <f t="shared" si="27"/>
        <v>&lt;</v>
      </c>
      <c r="AN78" s="1" t="str">
        <f t="shared" si="27"/>
        <v xml:space="preserve"> </v>
      </c>
      <c r="AO78" s="1" t="str">
        <f t="shared" si="27"/>
        <v xml:space="preserve"> </v>
      </c>
      <c r="AP78" s="1" t="str">
        <f t="shared" si="27"/>
        <v xml:space="preserve"> </v>
      </c>
      <c r="AQ78" s="1" t="str">
        <f t="shared" si="27"/>
        <v xml:space="preserve"> </v>
      </c>
      <c r="AR78" s="1" t="str">
        <f t="shared" si="27"/>
        <v xml:space="preserve"> </v>
      </c>
      <c r="AS78" s="1" t="str">
        <f t="shared" si="27"/>
        <v xml:space="preserve"> </v>
      </c>
      <c r="AT78" s="1" t="str">
        <f t="shared" si="27"/>
        <v>X</v>
      </c>
      <c r="AU78" s="1">
        <f t="shared" si="27"/>
        <v>5</v>
      </c>
      <c r="AV78" s="1" t="str">
        <f t="shared" si="27"/>
        <v xml:space="preserve"> </v>
      </c>
      <c r="AW78" s="1" t="str">
        <f t="shared" si="27"/>
        <v xml:space="preserve"> </v>
      </c>
      <c r="AX78" s="1" t="str">
        <f t="shared" si="27"/>
        <v xml:space="preserve"> </v>
      </c>
      <c r="AY78" s="1" t="str">
        <f t="shared" si="27"/>
        <v xml:space="preserve"> </v>
      </c>
      <c r="AZ78" s="1" t="str">
        <f t="shared" si="27"/>
        <v xml:space="preserve"> </v>
      </c>
      <c r="BA78" s="1" t="str">
        <f t="shared" si="27"/>
        <v xml:space="preserve"> </v>
      </c>
      <c r="BB78" s="1" t="str">
        <f t="shared" si="27"/>
        <v>&gt;</v>
      </c>
      <c r="BC78" t="s">
        <v>45</v>
      </c>
    </row>
    <row r="80" spans="1:56" x14ac:dyDescent="0.25">
      <c r="E80" s="1" t="s">
        <v>5</v>
      </c>
      <c r="F80" s="1" t="s">
        <v>19</v>
      </c>
      <c r="G80" s="1" t="s">
        <v>23</v>
      </c>
      <c r="H80" s="1" t="s">
        <v>6</v>
      </c>
      <c r="I80" s="1" t="s">
        <v>12</v>
      </c>
      <c r="J80" s="1" t="s">
        <v>24</v>
      </c>
      <c r="K80" s="1" t="s">
        <v>8</v>
      </c>
      <c r="L80" s="1" t="s">
        <v>41</v>
      </c>
      <c r="Q80" s="1">
        <v>26</v>
      </c>
      <c r="R80" s="1">
        <v>26</v>
      </c>
      <c r="S80" s="1">
        <v>27</v>
      </c>
      <c r="T80" s="13">
        <v>16</v>
      </c>
      <c r="U80" s="1">
        <v>26</v>
      </c>
      <c r="V80" s="1">
        <v>25</v>
      </c>
      <c r="W80" s="14">
        <v>5</v>
      </c>
      <c r="X80" s="1">
        <v>26</v>
      </c>
      <c r="Y80" s="16">
        <v>2</v>
      </c>
      <c r="Z80" s="1">
        <v>26</v>
      </c>
      <c r="AA80" s="1">
        <v>26</v>
      </c>
      <c r="AB80" s="1">
        <v>19</v>
      </c>
      <c r="AC80" s="1">
        <v>26</v>
      </c>
      <c r="AD80" s="1">
        <v>26</v>
      </c>
      <c r="AE80" s="17">
        <v>0</v>
      </c>
      <c r="AF80" s="1">
        <v>26</v>
      </c>
      <c r="AG80" s="18">
        <v>4</v>
      </c>
      <c r="AH80" t="str">
        <f>"{"&amp;R80&amp;","&amp;S80&amp;","&amp;T80&amp;","&amp;U80&amp;","&amp;V80&amp;","&amp;W80&amp;","&amp;X80&amp;","&amp;Y80&amp;","&amp;Z80&amp;","&amp;AA80&amp;","&amp;AB80&amp;","&amp;AC80&amp;","&amp;AD80&amp;","&amp;AE80&amp;","&amp;AF80&amp;","&amp;AG80&amp;"},"&amp;CHAR(10)</f>
        <v xml:space="preserve">{26,27,16,26,25,5,26,2,26,26,19,26,26,0,26,4},
</v>
      </c>
      <c r="AL80" t="s">
        <v>42</v>
      </c>
      <c r="AM80" s="1" t="str">
        <f t="shared" ref="AM80:BB81" si="28">IF(LEN(A80)=1,A80," ")</f>
        <v xml:space="preserve"> </v>
      </c>
      <c r="AN80" s="1" t="str">
        <f t="shared" si="28"/>
        <v xml:space="preserve"> </v>
      </c>
      <c r="AO80" s="1" t="str">
        <f t="shared" si="28"/>
        <v xml:space="preserve"> </v>
      </c>
      <c r="AP80" s="1" t="str">
        <f t="shared" si="28"/>
        <v xml:space="preserve"> </v>
      </c>
      <c r="AQ80" s="1" t="str">
        <f t="shared" si="28"/>
        <v>V</v>
      </c>
      <c r="AR80" s="1" t="str">
        <f t="shared" si="28"/>
        <v>O</v>
      </c>
      <c r="AS80" s="1" t="str">
        <f t="shared" si="28"/>
        <v>L</v>
      </c>
      <c r="AT80" s="1" t="str">
        <f t="shared" si="28"/>
        <v>T</v>
      </c>
      <c r="AU80" s="1" t="str">
        <f t="shared" si="28"/>
        <v>A</v>
      </c>
      <c r="AV80" s="1" t="str">
        <f t="shared" si="28"/>
        <v>G</v>
      </c>
      <c r="AW80" s="1" t="str">
        <f t="shared" si="28"/>
        <v>E</v>
      </c>
      <c r="AX80" s="1" t="str">
        <f t="shared" si="28"/>
        <v>M</v>
      </c>
      <c r="AY80" s="1" t="str">
        <f t="shared" si="28"/>
        <v xml:space="preserve"> </v>
      </c>
      <c r="AZ80" s="1" t="str">
        <f t="shared" si="28"/>
        <v xml:space="preserve"> </v>
      </c>
      <c r="BA80" s="1" t="str">
        <f t="shared" si="28"/>
        <v xml:space="preserve"> </v>
      </c>
      <c r="BB80" s="1" t="str">
        <f t="shared" si="28"/>
        <v xml:space="preserve"> </v>
      </c>
      <c r="BC80" t="s">
        <v>43</v>
      </c>
      <c r="BD80" s="1" t="str">
        <f>AL80&amp;AM80&amp;AN80&amp;AO80&amp;AP80&amp;AQ80&amp;AR80&amp;AS80&amp;AT80&amp;AU80&amp;AV80&amp;AW80&amp;AX80&amp;AY80&amp;AZ80&amp;BA80&amp;BB80&amp;BC80&amp;AL81&amp;AM81&amp;AN81&amp;AO81&amp;AP81&amp;AQ81&amp;AR81&amp;AS81&amp;AT81&amp;AU81&amp;AV81&amp;AW81&amp;AX81&amp;AY81&amp;AZ81&amp;BA81&amp;BB81&amp;BC81&amp;CHAR(10)</f>
        <v xml:space="preserve">{"    VOLTAGEM    ","&lt;      X6      &gt;"},
</v>
      </c>
    </row>
    <row r="81" spans="1:56" x14ac:dyDescent="0.25">
      <c r="A81" s="1" t="s">
        <v>14</v>
      </c>
      <c r="H81" s="1" t="s">
        <v>65</v>
      </c>
      <c r="I81" s="1">
        <v>6</v>
      </c>
      <c r="P81" s="1" t="s">
        <v>15</v>
      </c>
      <c r="AL81" t="s">
        <v>44</v>
      </c>
      <c r="AM81" s="1" t="str">
        <f t="shared" si="28"/>
        <v>&lt;</v>
      </c>
      <c r="AN81" s="1" t="str">
        <f t="shared" si="28"/>
        <v xml:space="preserve"> </v>
      </c>
      <c r="AO81" s="1" t="str">
        <f t="shared" si="28"/>
        <v xml:space="preserve"> </v>
      </c>
      <c r="AP81" s="1" t="str">
        <f t="shared" si="28"/>
        <v xml:space="preserve"> </v>
      </c>
      <c r="AQ81" s="1" t="str">
        <f t="shared" si="28"/>
        <v xml:space="preserve"> </v>
      </c>
      <c r="AR81" s="1" t="str">
        <f t="shared" si="28"/>
        <v xml:space="preserve"> </v>
      </c>
      <c r="AS81" s="1" t="str">
        <f t="shared" si="28"/>
        <v xml:space="preserve"> </v>
      </c>
      <c r="AT81" s="1" t="str">
        <f t="shared" si="28"/>
        <v>X</v>
      </c>
      <c r="AU81" s="1">
        <f t="shared" si="28"/>
        <v>6</v>
      </c>
      <c r="AV81" s="1" t="str">
        <f t="shared" si="28"/>
        <v xml:space="preserve"> </v>
      </c>
      <c r="AW81" s="1" t="str">
        <f t="shared" si="28"/>
        <v xml:space="preserve"> </v>
      </c>
      <c r="AX81" s="1" t="str">
        <f t="shared" si="28"/>
        <v xml:space="preserve"> </v>
      </c>
      <c r="AY81" s="1" t="str">
        <f t="shared" si="28"/>
        <v xml:space="preserve"> </v>
      </c>
      <c r="AZ81" s="1" t="str">
        <f t="shared" si="28"/>
        <v xml:space="preserve"> </v>
      </c>
      <c r="BA81" s="1" t="str">
        <f t="shared" si="28"/>
        <v xml:space="preserve"> </v>
      </c>
      <c r="BB81" s="1" t="str">
        <f t="shared" si="28"/>
        <v>&gt;</v>
      </c>
      <c r="BC81" t="s">
        <v>45</v>
      </c>
    </row>
    <row r="83" spans="1:56" x14ac:dyDescent="0.25">
      <c r="E83" s="1" t="s">
        <v>5</v>
      </c>
      <c r="F83" s="1" t="s">
        <v>19</v>
      </c>
      <c r="G83" s="1" t="s">
        <v>23</v>
      </c>
      <c r="H83" s="1" t="s">
        <v>6</v>
      </c>
      <c r="I83" s="1" t="s">
        <v>12</v>
      </c>
      <c r="J83" s="1" t="s">
        <v>24</v>
      </c>
      <c r="K83" s="1" t="s">
        <v>8</v>
      </c>
      <c r="L83" s="1" t="s">
        <v>41</v>
      </c>
      <c r="Q83" s="1">
        <v>27</v>
      </c>
      <c r="R83" s="1">
        <v>27</v>
      </c>
      <c r="S83" s="1">
        <v>20</v>
      </c>
      <c r="T83" s="13">
        <v>16</v>
      </c>
      <c r="U83" s="1">
        <v>27</v>
      </c>
      <c r="V83" s="1">
        <v>26</v>
      </c>
      <c r="W83" s="14">
        <v>5</v>
      </c>
      <c r="X83" s="1">
        <v>27</v>
      </c>
      <c r="Y83" s="16">
        <v>2</v>
      </c>
      <c r="Z83" s="1">
        <v>27</v>
      </c>
      <c r="AA83" s="1">
        <v>27</v>
      </c>
      <c r="AB83" s="1">
        <v>19</v>
      </c>
      <c r="AC83" s="1">
        <v>27</v>
      </c>
      <c r="AD83" s="1">
        <v>27</v>
      </c>
      <c r="AE83" s="17">
        <v>0</v>
      </c>
      <c r="AF83" s="1">
        <v>27</v>
      </c>
      <c r="AG83" s="18">
        <v>4</v>
      </c>
      <c r="AH83" t="str">
        <f>"{"&amp;R83&amp;","&amp;S83&amp;","&amp;T83&amp;","&amp;U83&amp;","&amp;V83&amp;","&amp;W83&amp;","&amp;X83&amp;","&amp;Y83&amp;","&amp;Z83&amp;","&amp;AA83&amp;","&amp;AB83&amp;","&amp;AC83&amp;","&amp;AD83&amp;","&amp;AE83&amp;","&amp;AF83&amp;","&amp;AG83&amp;"},"&amp;CHAR(10)</f>
        <v xml:space="preserve">{27,20,16,27,26,5,27,2,27,27,19,27,27,0,27,4},
</v>
      </c>
      <c r="AL83" t="s">
        <v>42</v>
      </c>
      <c r="AM83" s="1" t="str">
        <f t="shared" ref="AM83:BB84" si="29">IF(LEN(A83)=1,A83," ")</f>
        <v xml:space="preserve"> </v>
      </c>
      <c r="AN83" s="1" t="str">
        <f t="shared" si="29"/>
        <v xml:space="preserve"> </v>
      </c>
      <c r="AO83" s="1" t="str">
        <f t="shared" si="29"/>
        <v xml:space="preserve"> </v>
      </c>
      <c r="AP83" s="1" t="str">
        <f t="shared" si="29"/>
        <v xml:space="preserve"> </v>
      </c>
      <c r="AQ83" s="1" t="str">
        <f t="shared" si="29"/>
        <v>V</v>
      </c>
      <c r="AR83" s="1" t="str">
        <f t="shared" si="29"/>
        <v>O</v>
      </c>
      <c r="AS83" s="1" t="str">
        <f t="shared" si="29"/>
        <v>L</v>
      </c>
      <c r="AT83" s="1" t="str">
        <f t="shared" si="29"/>
        <v>T</v>
      </c>
      <c r="AU83" s="1" t="str">
        <f t="shared" si="29"/>
        <v>A</v>
      </c>
      <c r="AV83" s="1" t="str">
        <f t="shared" si="29"/>
        <v>G</v>
      </c>
      <c r="AW83" s="1" t="str">
        <f t="shared" si="29"/>
        <v>E</v>
      </c>
      <c r="AX83" s="1" t="str">
        <f t="shared" si="29"/>
        <v>M</v>
      </c>
      <c r="AY83" s="1" t="str">
        <f t="shared" si="29"/>
        <v xml:space="preserve"> </v>
      </c>
      <c r="AZ83" s="1" t="str">
        <f t="shared" si="29"/>
        <v xml:space="preserve"> </v>
      </c>
      <c r="BA83" s="1" t="str">
        <f t="shared" si="29"/>
        <v xml:space="preserve"> </v>
      </c>
      <c r="BB83" s="1" t="str">
        <f t="shared" si="29"/>
        <v xml:space="preserve"> </v>
      </c>
      <c r="BC83" t="s">
        <v>43</v>
      </c>
      <c r="BD83" s="1" t="str">
        <f>AL83&amp;AM83&amp;AN83&amp;AO83&amp;AP83&amp;AQ83&amp;AR83&amp;AS83&amp;AT83&amp;AU83&amp;AV83&amp;AW83&amp;AX83&amp;AY83&amp;AZ83&amp;BA83&amp;BB83&amp;BC83&amp;AL84&amp;AM84&amp;AN84&amp;AO84&amp;AP84&amp;AQ84&amp;AR84&amp;AS84&amp;AT84&amp;AU84&amp;AV84&amp;AW84&amp;AX84&amp;AY84&amp;AZ84&amp;BA84&amp;BB84&amp;BC84&amp;CHAR(10)</f>
        <v xml:space="preserve">{"    VOLTAGEM    ","&lt;      X7      &gt;"},
</v>
      </c>
    </row>
    <row r="84" spans="1:56" x14ac:dyDescent="0.25">
      <c r="A84" s="1" t="s">
        <v>14</v>
      </c>
      <c r="H84" s="1" t="s">
        <v>65</v>
      </c>
      <c r="I84" s="1">
        <v>7</v>
      </c>
      <c r="P84" s="1" t="s">
        <v>15</v>
      </c>
      <c r="AL84" t="s">
        <v>44</v>
      </c>
      <c r="AM84" s="1" t="str">
        <f t="shared" si="29"/>
        <v>&lt;</v>
      </c>
      <c r="AN84" s="1" t="str">
        <f t="shared" si="29"/>
        <v xml:space="preserve"> </v>
      </c>
      <c r="AO84" s="1" t="str">
        <f t="shared" si="29"/>
        <v xml:space="preserve"> </v>
      </c>
      <c r="AP84" s="1" t="str">
        <f t="shared" si="29"/>
        <v xml:space="preserve"> </v>
      </c>
      <c r="AQ84" s="1" t="str">
        <f t="shared" si="29"/>
        <v xml:space="preserve"> </v>
      </c>
      <c r="AR84" s="1" t="str">
        <f t="shared" si="29"/>
        <v xml:space="preserve"> </v>
      </c>
      <c r="AS84" s="1" t="str">
        <f t="shared" si="29"/>
        <v xml:space="preserve"> </v>
      </c>
      <c r="AT84" s="1" t="str">
        <f t="shared" si="29"/>
        <v>X</v>
      </c>
      <c r="AU84" s="1">
        <f t="shared" si="29"/>
        <v>7</v>
      </c>
      <c r="AV84" s="1" t="str">
        <f t="shared" si="29"/>
        <v xml:space="preserve"> </v>
      </c>
      <c r="AW84" s="1" t="str">
        <f t="shared" si="29"/>
        <v xml:space="preserve"> </v>
      </c>
      <c r="AX84" s="1" t="str">
        <f t="shared" si="29"/>
        <v xml:space="preserve"> </v>
      </c>
      <c r="AY84" s="1" t="str">
        <f t="shared" si="29"/>
        <v xml:space="preserve"> </v>
      </c>
      <c r="AZ84" s="1" t="str">
        <f t="shared" si="29"/>
        <v xml:space="preserve"> </v>
      </c>
      <c r="BA84" s="1" t="str">
        <f t="shared" si="29"/>
        <v xml:space="preserve"> </v>
      </c>
      <c r="BB84" s="1" t="str">
        <f t="shared" si="29"/>
        <v>&gt;</v>
      </c>
      <c r="BC84" t="s">
        <v>45</v>
      </c>
    </row>
    <row r="86" spans="1:56" x14ac:dyDescent="0.25">
      <c r="E86" s="1" t="s">
        <v>3</v>
      </c>
      <c r="F86" s="1" t="s">
        <v>12</v>
      </c>
      <c r="G86" s="1" t="s">
        <v>23</v>
      </c>
      <c r="H86" s="1" t="s">
        <v>17</v>
      </c>
      <c r="I86" s="1" t="s">
        <v>20</v>
      </c>
      <c r="J86" s="1" t="s">
        <v>16</v>
      </c>
      <c r="K86" s="1" t="s">
        <v>12</v>
      </c>
      <c r="L86" s="1" t="s">
        <v>16</v>
      </c>
      <c r="Q86" s="1">
        <v>28</v>
      </c>
      <c r="R86" s="1">
        <v>28</v>
      </c>
      <c r="S86" s="1">
        <v>5</v>
      </c>
      <c r="T86" s="13">
        <v>29</v>
      </c>
      <c r="U86" s="1">
        <v>28</v>
      </c>
      <c r="V86" s="1">
        <v>6</v>
      </c>
      <c r="W86" s="14">
        <v>3</v>
      </c>
      <c r="X86" s="1">
        <v>28</v>
      </c>
      <c r="Y86" s="16">
        <v>2</v>
      </c>
      <c r="Z86" s="1">
        <v>28</v>
      </c>
      <c r="AA86" s="1">
        <v>28</v>
      </c>
      <c r="AB86" s="1">
        <v>28</v>
      </c>
      <c r="AC86" s="1">
        <v>28</v>
      </c>
      <c r="AD86" s="1">
        <v>28</v>
      </c>
      <c r="AE86" s="17">
        <v>0</v>
      </c>
      <c r="AF86" s="1">
        <v>28</v>
      </c>
      <c r="AG86" s="18">
        <v>4</v>
      </c>
      <c r="AH86" t="str">
        <f>"{"&amp;R86&amp;","&amp;S86&amp;","&amp;T86&amp;","&amp;U86&amp;","&amp;V86&amp;","&amp;W86&amp;","&amp;X86&amp;","&amp;Y86&amp;","&amp;Z86&amp;","&amp;AA86&amp;","&amp;AB86&amp;","&amp;AC86&amp;","&amp;AD86&amp;","&amp;AE86&amp;","&amp;AF86&amp;","&amp;AG86&amp;"},"&amp;CHAR(10)</f>
        <v xml:space="preserve">{28,5,29,28,6,3,28,2,28,28,28,28,28,0,28,4},
</v>
      </c>
      <c r="AL86" t="s">
        <v>42</v>
      </c>
      <c r="AM86" s="1" t="str">
        <f t="shared" ref="AM86:BB87" si="30">IF(LEN(A86)=1,A86," ")</f>
        <v xml:space="preserve"> </v>
      </c>
      <c r="AN86" s="1" t="str">
        <f t="shared" si="30"/>
        <v xml:space="preserve"> </v>
      </c>
      <c r="AO86" s="1" t="str">
        <f t="shared" si="30"/>
        <v xml:space="preserve"> </v>
      </c>
      <c r="AP86" s="1" t="str">
        <f t="shared" si="30"/>
        <v xml:space="preserve"> </v>
      </c>
      <c r="AQ86" s="1" t="str">
        <f t="shared" si="30"/>
        <v>C</v>
      </c>
      <c r="AR86" s="1" t="str">
        <f t="shared" si="30"/>
        <v>A</v>
      </c>
      <c r="AS86" s="1" t="str">
        <f t="shared" si="30"/>
        <v>L</v>
      </c>
      <c r="AT86" s="1" t="str">
        <f t="shared" si="30"/>
        <v>I</v>
      </c>
      <c r="AU86" s="1" t="str">
        <f t="shared" si="30"/>
        <v>B</v>
      </c>
      <c r="AV86" s="1" t="str">
        <f t="shared" si="30"/>
        <v>R</v>
      </c>
      <c r="AW86" s="1" t="str">
        <f t="shared" si="30"/>
        <v>A</v>
      </c>
      <c r="AX86" s="1" t="str">
        <f t="shared" si="30"/>
        <v>R</v>
      </c>
      <c r="AY86" s="1" t="str">
        <f t="shared" si="30"/>
        <v xml:space="preserve"> </v>
      </c>
      <c r="AZ86" s="1" t="str">
        <f t="shared" si="30"/>
        <v xml:space="preserve"> </v>
      </c>
      <c r="BA86" s="1" t="str">
        <f t="shared" si="30"/>
        <v xml:space="preserve"> </v>
      </c>
      <c r="BB86" s="1" t="str">
        <f t="shared" si="30"/>
        <v xml:space="preserve"> </v>
      </c>
      <c r="BC86" t="s">
        <v>43</v>
      </c>
      <c r="BD86" s="1" t="str">
        <f>AL86&amp;AM86&amp;AN86&amp;AO86&amp;AP86&amp;AQ86&amp;AR86&amp;AS86&amp;AT86&amp;AU86&amp;AV86&amp;AW86&amp;AX86&amp;AY86&amp;AZ86&amp;BA86&amp;BB86&amp;BC86&amp;AL87&amp;AM87&amp;AN87&amp;AO87&amp;AP87&amp;AQ87&amp;AR87&amp;AS87&amp;AT87&amp;AU87&amp;AV87&amp;AW87&amp;AX87&amp;AY87&amp;AZ87&amp;BA87&amp;BB87&amp;BC87&amp;CHAR(10)</f>
        <v xml:space="preserve">{"    CALIBRAR    ","&lt;    OPCOES    &gt;"},
</v>
      </c>
    </row>
    <row r="87" spans="1:56" x14ac:dyDescent="0.25">
      <c r="A87" s="1" t="s">
        <v>14</v>
      </c>
      <c r="F87" s="1" t="s">
        <v>19</v>
      </c>
      <c r="G87" s="1" t="s">
        <v>11</v>
      </c>
      <c r="H87" s="1" t="s">
        <v>3</v>
      </c>
      <c r="I87" s="1" t="s">
        <v>19</v>
      </c>
      <c r="J87" s="1" t="s">
        <v>8</v>
      </c>
      <c r="K87" s="1" t="s">
        <v>2</v>
      </c>
      <c r="P87" s="1" t="s">
        <v>15</v>
      </c>
      <c r="AL87" t="s">
        <v>44</v>
      </c>
      <c r="AM87" s="1" t="str">
        <f t="shared" si="30"/>
        <v>&lt;</v>
      </c>
      <c r="AN87" s="1" t="str">
        <f t="shared" si="30"/>
        <v xml:space="preserve"> </v>
      </c>
      <c r="AO87" s="1" t="str">
        <f t="shared" si="30"/>
        <v xml:space="preserve"> </v>
      </c>
      <c r="AP87" s="1" t="str">
        <f t="shared" si="30"/>
        <v xml:space="preserve"> </v>
      </c>
      <c r="AQ87" s="1" t="str">
        <f t="shared" si="30"/>
        <v xml:space="preserve"> </v>
      </c>
      <c r="AR87" s="1" t="str">
        <f t="shared" si="30"/>
        <v>O</v>
      </c>
      <c r="AS87" s="1" t="str">
        <f t="shared" si="30"/>
        <v>P</v>
      </c>
      <c r="AT87" s="1" t="str">
        <f t="shared" si="30"/>
        <v>C</v>
      </c>
      <c r="AU87" s="1" t="str">
        <f t="shared" si="30"/>
        <v>O</v>
      </c>
      <c r="AV87" s="1" t="str">
        <f t="shared" si="30"/>
        <v>E</v>
      </c>
      <c r="AW87" s="1" t="str">
        <f t="shared" si="30"/>
        <v>S</v>
      </c>
      <c r="AX87" s="1" t="str">
        <f t="shared" si="30"/>
        <v xml:space="preserve"> </v>
      </c>
      <c r="AY87" s="1" t="str">
        <f t="shared" si="30"/>
        <v xml:space="preserve"> </v>
      </c>
      <c r="AZ87" s="1" t="str">
        <f t="shared" si="30"/>
        <v xml:space="preserve"> </v>
      </c>
      <c r="BA87" s="1" t="str">
        <f t="shared" si="30"/>
        <v xml:space="preserve"> </v>
      </c>
      <c r="BB87" s="1" t="str">
        <f t="shared" si="30"/>
        <v>&gt;</v>
      </c>
      <c r="BC87" t="s">
        <v>45</v>
      </c>
    </row>
    <row r="89" spans="1:56" x14ac:dyDescent="0.25">
      <c r="F89" s="1" t="s">
        <v>19</v>
      </c>
      <c r="G89" s="1" t="s">
        <v>11</v>
      </c>
      <c r="H89" s="1" t="s">
        <v>3</v>
      </c>
      <c r="I89" s="1" t="s">
        <v>19</v>
      </c>
      <c r="J89" s="1" t="s">
        <v>8</v>
      </c>
      <c r="K89" s="1" t="s">
        <v>2</v>
      </c>
      <c r="Q89" s="1">
        <v>29</v>
      </c>
      <c r="R89" s="1">
        <v>29</v>
      </c>
      <c r="S89" s="1">
        <v>30</v>
      </c>
      <c r="T89" s="13">
        <v>43</v>
      </c>
      <c r="U89" s="1">
        <v>29</v>
      </c>
      <c r="V89" s="1">
        <v>42</v>
      </c>
      <c r="W89" s="14">
        <v>3</v>
      </c>
      <c r="X89" s="1">
        <v>29</v>
      </c>
      <c r="Y89" s="16">
        <v>2</v>
      </c>
      <c r="Z89" s="1">
        <v>29</v>
      </c>
      <c r="AA89" s="1">
        <v>29</v>
      </c>
      <c r="AB89" s="1">
        <v>29</v>
      </c>
      <c r="AC89" s="1">
        <v>29</v>
      </c>
      <c r="AD89" s="1">
        <v>29</v>
      </c>
      <c r="AE89" s="17">
        <v>0</v>
      </c>
      <c r="AF89" s="1">
        <v>29</v>
      </c>
      <c r="AG89" s="18">
        <v>4</v>
      </c>
      <c r="AH89" t="str">
        <f>"{"&amp;R89&amp;","&amp;S89&amp;","&amp;T89&amp;","&amp;U89&amp;","&amp;V89&amp;","&amp;W89&amp;","&amp;X89&amp;","&amp;Y89&amp;","&amp;Z89&amp;","&amp;AA89&amp;","&amp;AB89&amp;","&amp;AC89&amp;","&amp;AD89&amp;","&amp;AE89&amp;","&amp;AF89&amp;","&amp;AG89&amp;"},"&amp;CHAR(10)</f>
        <v xml:space="preserve">{29,30,43,29,42,3,29,2,29,29,29,29,29,0,29,4},
</v>
      </c>
      <c r="AL89" t="s">
        <v>42</v>
      </c>
      <c r="AM89" s="1" t="str">
        <f t="shared" ref="AM89:BB90" si="31">IF(LEN(A89)=1,A89," ")</f>
        <v xml:space="preserve"> </v>
      </c>
      <c r="AN89" s="1" t="str">
        <f t="shared" si="31"/>
        <v xml:space="preserve"> </v>
      </c>
      <c r="AO89" s="1" t="str">
        <f t="shared" si="31"/>
        <v xml:space="preserve"> </v>
      </c>
      <c r="AP89" s="1" t="str">
        <f t="shared" si="31"/>
        <v xml:space="preserve"> </v>
      </c>
      <c r="AQ89" s="1" t="str">
        <f t="shared" si="31"/>
        <v xml:space="preserve"> </v>
      </c>
      <c r="AR89" s="1" t="str">
        <f t="shared" si="31"/>
        <v>O</v>
      </c>
      <c r="AS89" s="1" t="str">
        <f t="shared" si="31"/>
        <v>P</v>
      </c>
      <c r="AT89" s="1" t="str">
        <f t="shared" si="31"/>
        <v>C</v>
      </c>
      <c r="AU89" s="1" t="str">
        <f t="shared" si="31"/>
        <v>O</v>
      </c>
      <c r="AV89" s="1" t="str">
        <f t="shared" si="31"/>
        <v>E</v>
      </c>
      <c r="AW89" s="1" t="str">
        <f t="shared" si="31"/>
        <v>S</v>
      </c>
      <c r="AX89" s="1" t="str">
        <f t="shared" si="31"/>
        <v xml:space="preserve"> </v>
      </c>
      <c r="AY89" s="1" t="str">
        <f t="shared" si="31"/>
        <v xml:space="preserve"> </v>
      </c>
      <c r="AZ89" s="1" t="str">
        <f t="shared" si="31"/>
        <v xml:space="preserve"> </v>
      </c>
      <c r="BA89" s="1" t="str">
        <f t="shared" si="31"/>
        <v xml:space="preserve"> </v>
      </c>
      <c r="BB89" s="1" t="str">
        <f t="shared" si="31"/>
        <v xml:space="preserve"> </v>
      </c>
      <c r="BC89" t="s">
        <v>43</v>
      </c>
      <c r="BD89" s="1" t="str">
        <f>AL89&amp;AM89&amp;AN89&amp;AO89&amp;AP89&amp;AQ89&amp;AR89&amp;AS89&amp;AT89&amp;AU89&amp;AV89&amp;AW89&amp;AX89&amp;AY89&amp;AZ89&amp;BA89&amp;BB89&amp;BC89&amp;AL90&amp;AM90&amp;AN90&amp;AO90&amp;AP90&amp;AQ90&amp;AR90&amp;AS90&amp;AT90&amp;AU90&amp;AV90&amp;AW90&amp;AX90&amp;AY90&amp;AZ90&amp;BA90&amp;BB90&amp;BC90&amp;CHAR(10)</f>
        <v xml:space="preserve">{"     OPCOES     ","&lt; LOOP-S0(A/P) &gt;"},
</v>
      </c>
    </row>
    <row r="90" spans="1:56" x14ac:dyDescent="0.25">
      <c r="A90" s="1" t="s">
        <v>14</v>
      </c>
      <c r="C90" s="1" t="s">
        <v>23</v>
      </c>
      <c r="D90" s="1" t="s">
        <v>19</v>
      </c>
      <c r="E90" s="1" t="s">
        <v>19</v>
      </c>
      <c r="F90" s="1" t="s">
        <v>11</v>
      </c>
      <c r="G90" s="1" t="s">
        <v>10</v>
      </c>
      <c r="H90" s="1" t="s">
        <v>2</v>
      </c>
      <c r="I90" s="1">
        <v>0</v>
      </c>
      <c r="J90" s="1" t="s">
        <v>46</v>
      </c>
      <c r="K90" s="1" t="s">
        <v>12</v>
      </c>
      <c r="L90" s="1" t="s">
        <v>48</v>
      </c>
      <c r="M90" s="1" t="s">
        <v>11</v>
      </c>
      <c r="N90" s="1" t="s">
        <v>47</v>
      </c>
      <c r="P90" s="1" t="s">
        <v>15</v>
      </c>
      <c r="AL90" t="s">
        <v>44</v>
      </c>
      <c r="AM90" s="1" t="str">
        <f t="shared" si="31"/>
        <v>&lt;</v>
      </c>
      <c r="AN90" s="1" t="str">
        <f t="shared" si="31"/>
        <v xml:space="preserve"> </v>
      </c>
      <c r="AO90" s="1" t="str">
        <f t="shared" si="31"/>
        <v>L</v>
      </c>
      <c r="AP90" s="1" t="str">
        <f t="shared" si="31"/>
        <v>O</v>
      </c>
      <c r="AQ90" s="1" t="str">
        <f t="shared" si="31"/>
        <v>O</v>
      </c>
      <c r="AR90" s="1" t="str">
        <f t="shared" si="31"/>
        <v>P</v>
      </c>
      <c r="AS90" s="1" t="str">
        <f t="shared" si="31"/>
        <v>-</v>
      </c>
      <c r="AT90" s="1" t="str">
        <f t="shared" si="31"/>
        <v>S</v>
      </c>
      <c r="AU90" s="1">
        <f t="shared" si="31"/>
        <v>0</v>
      </c>
      <c r="AV90" s="1" t="str">
        <f t="shared" si="31"/>
        <v>(</v>
      </c>
      <c r="AW90" s="1" t="str">
        <f t="shared" si="31"/>
        <v>A</v>
      </c>
      <c r="AX90" s="1" t="str">
        <f t="shared" si="31"/>
        <v>/</v>
      </c>
      <c r="AY90" s="1" t="str">
        <f t="shared" si="31"/>
        <v>P</v>
      </c>
      <c r="AZ90" s="1" t="str">
        <f t="shared" si="31"/>
        <v>)</v>
      </c>
      <c r="BA90" s="1" t="str">
        <f t="shared" si="31"/>
        <v xml:space="preserve"> </v>
      </c>
      <c r="BB90" s="1" t="str">
        <f t="shared" si="31"/>
        <v>&gt;</v>
      </c>
      <c r="BC90" t="s">
        <v>45</v>
      </c>
    </row>
    <row r="92" spans="1:56" x14ac:dyDescent="0.25">
      <c r="F92" s="1" t="s">
        <v>19</v>
      </c>
      <c r="G92" s="1" t="s">
        <v>11</v>
      </c>
      <c r="H92" s="1" t="s">
        <v>3</v>
      </c>
      <c r="I92" s="1" t="s">
        <v>19</v>
      </c>
      <c r="J92" s="1" t="s">
        <v>8</v>
      </c>
      <c r="K92" s="1" t="s">
        <v>2</v>
      </c>
      <c r="Q92" s="1">
        <v>30</v>
      </c>
      <c r="R92" s="1">
        <v>30</v>
      </c>
      <c r="S92" s="1">
        <v>31</v>
      </c>
      <c r="T92" s="13">
        <v>43</v>
      </c>
      <c r="U92" s="1">
        <v>30</v>
      </c>
      <c r="V92" s="1">
        <v>29</v>
      </c>
      <c r="W92" s="14">
        <v>3</v>
      </c>
      <c r="X92" s="1">
        <v>30</v>
      </c>
      <c r="Y92" s="16">
        <v>2</v>
      </c>
      <c r="Z92" s="1">
        <v>30</v>
      </c>
      <c r="AA92" s="1">
        <v>30</v>
      </c>
      <c r="AB92" s="1">
        <v>30</v>
      </c>
      <c r="AC92" s="1">
        <v>30</v>
      </c>
      <c r="AD92" s="1">
        <v>30</v>
      </c>
      <c r="AE92" s="17">
        <v>0</v>
      </c>
      <c r="AF92" s="1">
        <v>30</v>
      </c>
      <c r="AG92" s="18">
        <v>4</v>
      </c>
      <c r="AH92" t="str">
        <f>"{"&amp;R92&amp;","&amp;S92&amp;","&amp;T92&amp;","&amp;U92&amp;","&amp;V92&amp;","&amp;W92&amp;","&amp;X92&amp;","&amp;Y92&amp;","&amp;Z92&amp;","&amp;AA92&amp;","&amp;AB92&amp;","&amp;AC92&amp;","&amp;AD92&amp;","&amp;AE92&amp;","&amp;AF92&amp;","&amp;AG92&amp;"},"&amp;CHAR(10)</f>
        <v xml:space="preserve">{30,31,43,30,29,3,30,2,30,30,30,30,30,0,30,4},
</v>
      </c>
      <c r="AL92" t="s">
        <v>42</v>
      </c>
      <c r="AM92" s="1" t="str">
        <f t="shared" ref="AM92:BB93" si="32">IF(LEN(A92)=1,A92," ")</f>
        <v xml:space="preserve"> </v>
      </c>
      <c r="AN92" s="1" t="str">
        <f t="shared" si="32"/>
        <v xml:space="preserve"> </v>
      </c>
      <c r="AO92" s="1" t="str">
        <f t="shared" si="32"/>
        <v xml:space="preserve"> </v>
      </c>
      <c r="AP92" s="1" t="str">
        <f t="shared" si="32"/>
        <v xml:space="preserve"> </v>
      </c>
      <c r="AQ92" s="1" t="str">
        <f t="shared" si="32"/>
        <v xml:space="preserve"> </v>
      </c>
      <c r="AR92" s="1" t="str">
        <f t="shared" si="32"/>
        <v>O</v>
      </c>
      <c r="AS92" s="1" t="str">
        <f t="shared" si="32"/>
        <v>P</v>
      </c>
      <c r="AT92" s="1" t="str">
        <f t="shared" si="32"/>
        <v>C</v>
      </c>
      <c r="AU92" s="1" t="str">
        <f t="shared" si="32"/>
        <v>O</v>
      </c>
      <c r="AV92" s="1" t="str">
        <f t="shared" si="32"/>
        <v>E</v>
      </c>
      <c r="AW92" s="1" t="str">
        <f t="shared" si="32"/>
        <v>S</v>
      </c>
      <c r="AX92" s="1" t="str">
        <f t="shared" si="32"/>
        <v xml:space="preserve"> </v>
      </c>
      <c r="AY92" s="1" t="str">
        <f t="shared" si="32"/>
        <v xml:space="preserve"> </v>
      </c>
      <c r="AZ92" s="1" t="str">
        <f t="shared" si="32"/>
        <v xml:space="preserve"> </v>
      </c>
      <c r="BA92" s="1" t="str">
        <f t="shared" si="32"/>
        <v xml:space="preserve"> </v>
      </c>
      <c r="BB92" s="1" t="str">
        <f t="shared" si="32"/>
        <v xml:space="preserve"> </v>
      </c>
      <c r="BC92" t="s">
        <v>43</v>
      </c>
      <c r="BD92" s="1" t="str">
        <f>AL92&amp;AM92&amp;AN92&amp;AO92&amp;AP92&amp;AQ92&amp;AR92&amp;AS92&amp;AT92&amp;AU92&amp;AV92&amp;AW92&amp;AX92&amp;AY92&amp;AZ92&amp;BA92&amp;BB92&amp;BC92&amp;AL93&amp;AM93&amp;AN93&amp;AO93&amp;AP93&amp;AQ93&amp;AR93&amp;AS93&amp;AT93&amp;AU93&amp;AV93&amp;AW93&amp;AX93&amp;AY93&amp;AZ93&amp;BA93&amp;BB93&amp;BC93&amp;CHAR(10)</f>
        <v xml:space="preserve">{"     OPCOES     ","&lt; LOOP-S1(A/P) &gt;"},
</v>
      </c>
    </row>
    <row r="93" spans="1:56" x14ac:dyDescent="0.25">
      <c r="A93" s="1" t="s">
        <v>14</v>
      </c>
      <c r="C93" s="1" t="s">
        <v>23</v>
      </c>
      <c r="D93" s="1" t="s">
        <v>19</v>
      </c>
      <c r="E93" s="1" t="s">
        <v>19</v>
      </c>
      <c r="F93" s="1" t="s">
        <v>11</v>
      </c>
      <c r="G93" s="1" t="s">
        <v>10</v>
      </c>
      <c r="H93" s="1" t="s">
        <v>2</v>
      </c>
      <c r="I93" s="1">
        <v>1</v>
      </c>
      <c r="J93" s="1" t="s">
        <v>46</v>
      </c>
      <c r="K93" s="1" t="s">
        <v>12</v>
      </c>
      <c r="L93" s="1" t="s">
        <v>48</v>
      </c>
      <c r="M93" s="1" t="s">
        <v>11</v>
      </c>
      <c r="N93" s="1" t="s">
        <v>47</v>
      </c>
      <c r="P93" s="1" t="s">
        <v>15</v>
      </c>
      <c r="AL93" t="s">
        <v>44</v>
      </c>
      <c r="AM93" s="1" t="str">
        <f t="shared" si="32"/>
        <v>&lt;</v>
      </c>
      <c r="AN93" s="1" t="str">
        <f t="shared" si="32"/>
        <v xml:space="preserve"> </v>
      </c>
      <c r="AO93" s="1" t="str">
        <f t="shared" si="32"/>
        <v>L</v>
      </c>
      <c r="AP93" s="1" t="str">
        <f t="shared" si="32"/>
        <v>O</v>
      </c>
      <c r="AQ93" s="1" t="str">
        <f t="shared" si="32"/>
        <v>O</v>
      </c>
      <c r="AR93" s="1" t="str">
        <f t="shared" si="32"/>
        <v>P</v>
      </c>
      <c r="AS93" s="1" t="str">
        <f t="shared" si="32"/>
        <v>-</v>
      </c>
      <c r="AT93" s="1" t="str">
        <f t="shared" si="32"/>
        <v>S</v>
      </c>
      <c r="AU93" s="1">
        <f t="shared" si="32"/>
        <v>1</v>
      </c>
      <c r="AV93" s="1" t="str">
        <f t="shared" si="32"/>
        <v>(</v>
      </c>
      <c r="AW93" s="1" t="str">
        <f t="shared" si="32"/>
        <v>A</v>
      </c>
      <c r="AX93" s="1" t="str">
        <f t="shared" si="32"/>
        <v>/</v>
      </c>
      <c r="AY93" s="1" t="str">
        <f t="shared" si="32"/>
        <v>P</v>
      </c>
      <c r="AZ93" s="1" t="str">
        <f t="shared" si="32"/>
        <v>)</v>
      </c>
      <c r="BA93" s="1" t="str">
        <f t="shared" si="32"/>
        <v xml:space="preserve"> </v>
      </c>
      <c r="BB93" s="1" t="str">
        <f t="shared" si="32"/>
        <v>&gt;</v>
      </c>
      <c r="BC93" t="s">
        <v>45</v>
      </c>
    </row>
    <row r="95" spans="1:56" x14ac:dyDescent="0.25">
      <c r="F95" s="1" t="s">
        <v>19</v>
      </c>
      <c r="G95" s="1" t="s">
        <v>11</v>
      </c>
      <c r="H95" s="1" t="s">
        <v>3</v>
      </c>
      <c r="I95" s="1" t="s">
        <v>19</v>
      </c>
      <c r="J95" s="1" t="s">
        <v>8</v>
      </c>
      <c r="K95" s="1" t="s">
        <v>2</v>
      </c>
      <c r="Q95" s="1">
        <v>31</v>
      </c>
      <c r="R95" s="1">
        <v>31</v>
      </c>
      <c r="S95" s="1">
        <v>32</v>
      </c>
      <c r="T95" s="13">
        <v>43</v>
      </c>
      <c r="U95" s="19">
        <v>31</v>
      </c>
      <c r="V95" s="1">
        <v>30</v>
      </c>
      <c r="W95" s="14">
        <v>3</v>
      </c>
      <c r="X95" s="1">
        <v>31</v>
      </c>
      <c r="Y95" s="16">
        <v>2</v>
      </c>
      <c r="Z95" s="1">
        <v>31</v>
      </c>
      <c r="AA95" s="1">
        <v>31</v>
      </c>
      <c r="AB95" s="1">
        <v>31</v>
      </c>
      <c r="AC95" s="1">
        <v>31</v>
      </c>
      <c r="AD95" s="1">
        <v>31</v>
      </c>
      <c r="AE95" s="17">
        <v>0</v>
      </c>
      <c r="AF95" s="1">
        <v>31</v>
      </c>
      <c r="AG95" s="18">
        <v>4</v>
      </c>
      <c r="AH95" t="str">
        <f>"{"&amp;R95&amp;","&amp;S95&amp;","&amp;T95&amp;","&amp;U95&amp;","&amp;V95&amp;","&amp;W95&amp;","&amp;X95&amp;","&amp;Y95&amp;","&amp;Z95&amp;","&amp;AA95&amp;","&amp;AB95&amp;","&amp;AC95&amp;","&amp;AD95&amp;","&amp;AE95&amp;","&amp;AF95&amp;","&amp;AG95&amp;"},"&amp;CHAR(10)</f>
        <v xml:space="preserve">{31,32,43,31,30,3,31,2,31,31,31,31,31,0,31,4},
</v>
      </c>
      <c r="AL95" t="s">
        <v>42</v>
      </c>
      <c r="AM95" s="1" t="str">
        <f t="shared" ref="AM95:BB96" si="33">IF(LEN(A95)=1,A95," ")</f>
        <v xml:space="preserve"> </v>
      </c>
      <c r="AN95" s="1" t="str">
        <f t="shared" si="33"/>
        <v xml:space="preserve"> </v>
      </c>
      <c r="AO95" s="1" t="str">
        <f t="shared" si="33"/>
        <v xml:space="preserve"> </v>
      </c>
      <c r="AP95" s="1" t="str">
        <f t="shared" si="33"/>
        <v xml:space="preserve"> </v>
      </c>
      <c r="AQ95" s="1" t="str">
        <f t="shared" si="33"/>
        <v xml:space="preserve"> </v>
      </c>
      <c r="AR95" s="1" t="str">
        <f t="shared" si="33"/>
        <v>O</v>
      </c>
      <c r="AS95" s="1" t="str">
        <f t="shared" si="33"/>
        <v>P</v>
      </c>
      <c r="AT95" s="1" t="str">
        <f t="shared" si="33"/>
        <v>C</v>
      </c>
      <c r="AU95" s="1" t="str">
        <f t="shared" si="33"/>
        <v>O</v>
      </c>
      <c r="AV95" s="1" t="str">
        <f t="shared" si="33"/>
        <v>E</v>
      </c>
      <c r="AW95" s="1" t="str">
        <f t="shared" si="33"/>
        <v>S</v>
      </c>
      <c r="AX95" s="1" t="str">
        <f t="shared" si="33"/>
        <v xml:space="preserve"> </v>
      </c>
      <c r="AY95" s="1" t="str">
        <f t="shared" si="33"/>
        <v xml:space="preserve"> </v>
      </c>
      <c r="AZ95" s="1" t="str">
        <f t="shared" si="33"/>
        <v xml:space="preserve"> </v>
      </c>
      <c r="BA95" s="1" t="str">
        <f t="shared" si="33"/>
        <v xml:space="preserve"> </v>
      </c>
      <c r="BB95" s="1" t="str">
        <f t="shared" si="33"/>
        <v xml:space="preserve"> </v>
      </c>
      <c r="BC95" t="s">
        <v>43</v>
      </c>
      <c r="BD95" s="1" t="str">
        <f>AL95&amp;AM95&amp;AN95&amp;AO95&amp;AP95&amp;AQ95&amp;AR95&amp;AS95&amp;AT95&amp;AU95&amp;AV95&amp;AW95&amp;AX95&amp;AY95&amp;AZ95&amp;BA95&amp;BB95&amp;BC95&amp;AL96&amp;AM96&amp;AN96&amp;AO96&amp;AP96&amp;AQ96&amp;AR96&amp;AS96&amp;AT96&amp;AU96&amp;AV96&amp;AW96&amp;AX96&amp;AY96&amp;AZ96&amp;BA96&amp;BB96&amp;BC96&amp;CHAR(10)</f>
        <v xml:space="preserve">{"     OPCOES     ","&lt; LOOP-S2(A/P) &gt;"},
</v>
      </c>
    </row>
    <row r="96" spans="1:56" x14ac:dyDescent="0.25">
      <c r="A96" s="1" t="s">
        <v>14</v>
      </c>
      <c r="C96" s="1" t="s">
        <v>23</v>
      </c>
      <c r="D96" s="1" t="s">
        <v>19</v>
      </c>
      <c r="E96" s="1" t="s">
        <v>19</v>
      </c>
      <c r="F96" s="1" t="s">
        <v>11</v>
      </c>
      <c r="G96" s="1" t="s">
        <v>10</v>
      </c>
      <c r="H96" s="1" t="s">
        <v>2</v>
      </c>
      <c r="I96" s="1">
        <v>2</v>
      </c>
      <c r="J96" s="1" t="s">
        <v>46</v>
      </c>
      <c r="K96" s="1" t="s">
        <v>12</v>
      </c>
      <c r="L96" s="1" t="s">
        <v>48</v>
      </c>
      <c r="M96" s="1" t="s">
        <v>11</v>
      </c>
      <c r="N96" s="1" t="s">
        <v>47</v>
      </c>
      <c r="P96" s="1" t="s">
        <v>15</v>
      </c>
      <c r="AL96" t="s">
        <v>44</v>
      </c>
      <c r="AM96" s="1" t="str">
        <f t="shared" si="33"/>
        <v>&lt;</v>
      </c>
      <c r="AN96" s="1" t="str">
        <f t="shared" si="33"/>
        <v xml:space="preserve"> </v>
      </c>
      <c r="AO96" s="1" t="str">
        <f t="shared" si="33"/>
        <v>L</v>
      </c>
      <c r="AP96" s="1" t="str">
        <f t="shared" si="33"/>
        <v>O</v>
      </c>
      <c r="AQ96" s="1" t="str">
        <f t="shared" si="33"/>
        <v>O</v>
      </c>
      <c r="AR96" s="1" t="str">
        <f t="shared" si="33"/>
        <v>P</v>
      </c>
      <c r="AS96" s="1" t="str">
        <f t="shared" si="33"/>
        <v>-</v>
      </c>
      <c r="AT96" s="1" t="str">
        <f t="shared" si="33"/>
        <v>S</v>
      </c>
      <c r="AU96" s="1">
        <f t="shared" si="33"/>
        <v>2</v>
      </c>
      <c r="AV96" s="1" t="str">
        <f t="shared" si="33"/>
        <v>(</v>
      </c>
      <c r="AW96" s="1" t="str">
        <f t="shared" si="33"/>
        <v>A</v>
      </c>
      <c r="AX96" s="1" t="str">
        <f t="shared" si="33"/>
        <v>/</v>
      </c>
      <c r="AY96" s="1" t="str">
        <f t="shared" si="33"/>
        <v>P</v>
      </c>
      <c r="AZ96" s="1" t="str">
        <f t="shared" si="33"/>
        <v>)</v>
      </c>
      <c r="BA96" s="1" t="str">
        <f t="shared" si="33"/>
        <v xml:space="preserve"> </v>
      </c>
      <c r="BB96" s="1" t="str">
        <f t="shared" si="33"/>
        <v>&gt;</v>
      </c>
      <c r="BC96" t="s">
        <v>45</v>
      </c>
    </row>
    <row r="98" spans="1:56" x14ac:dyDescent="0.25">
      <c r="F98" s="1" t="s">
        <v>19</v>
      </c>
      <c r="G98" s="1" t="s">
        <v>11</v>
      </c>
      <c r="H98" s="1" t="s">
        <v>3</v>
      </c>
      <c r="I98" s="1" t="s">
        <v>19</v>
      </c>
      <c r="J98" s="1" t="s">
        <v>8</v>
      </c>
      <c r="K98" s="1" t="s">
        <v>2</v>
      </c>
      <c r="Q98" s="1">
        <v>32</v>
      </c>
      <c r="R98" s="1">
        <v>32</v>
      </c>
      <c r="S98" s="1">
        <v>33</v>
      </c>
      <c r="T98" s="13">
        <v>43</v>
      </c>
      <c r="U98" s="1">
        <v>32</v>
      </c>
      <c r="V98" s="1">
        <v>31</v>
      </c>
      <c r="W98" s="14">
        <v>3</v>
      </c>
      <c r="X98" s="1">
        <v>32</v>
      </c>
      <c r="Y98" s="16">
        <v>2</v>
      </c>
      <c r="Z98" s="1">
        <v>32</v>
      </c>
      <c r="AA98" s="1">
        <v>32</v>
      </c>
      <c r="AB98" s="1">
        <v>32</v>
      </c>
      <c r="AC98" s="1">
        <v>32</v>
      </c>
      <c r="AD98" s="1">
        <v>32</v>
      </c>
      <c r="AE98" s="17">
        <v>0</v>
      </c>
      <c r="AF98" s="1">
        <v>32</v>
      </c>
      <c r="AG98" s="18">
        <v>4</v>
      </c>
      <c r="AH98" t="str">
        <f>"{"&amp;R98&amp;","&amp;S98&amp;","&amp;T98&amp;","&amp;U98&amp;","&amp;V98&amp;","&amp;W98&amp;","&amp;X98&amp;","&amp;Y98&amp;","&amp;Z98&amp;","&amp;AA98&amp;","&amp;AB98&amp;","&amp;AC98&amp;","&amp;AD98&amp;","&amp;AE98&amp;","&amp;AF98&amp;","&amp;AG98&amp;"},"&amp;CHAR(10)</f>
        <v xml:space="preserve">{32,33,43,32,31,3,32,2,32,32,32,32,32,0,32,4},
</v>
      </c>
      <c r="AL98" t="s">
        <v>42</v>
      </c>
      <c r="AM98" s="1" t="str">
        <f t="shared" ref="AM98:BB99" si="34">IF(LEN(A98)=1,A98," ")</f>
        <v xml:space="preserve"> </v>
      </c>
      <c r="AN98" s="1" t="str">
        <f t="shared" si="34"/>
        <v xml:space="preserve"> </v>
      </c>
      <c r="AO98" s="1" t="str">
        <f t="shared" si="34"/>
        <v xml:space="preserve"> </v>
      </c>
      <c r="AP98" s="1" t="str">
        <f t="shared" si="34"/>
        <v xml:space="preserve"> </v>
      </c>
      <c r="AQ98" s="1" t="str">
        <f t="shared" si="34"/>
        <v xml:space="preserve"> </v>
      </c>
      <c r="AR98" s="1" t="str">
        <f t="shared" si="34"/>
        <v>O</v>
      </c>
      <c r="AS98" s="1" t="str">
        <f t="shared" si="34"/>
        <v>P</v>
      </c>
      <c r="AT98" s="1" t="str">
        <f t="shared" si="34"/>
        <v>C</v>
      </c>
      <c r="AU98" s="1" t="str">
        <f t="shared" si="34"/>
        <v>O</v>
      </c>
      <c r="AV98" s="1" t="str">
        <f t="shared" si="34"/>
        <v>E</v>
      </c>
      <c r="AW98" s="1" t="str">
        <f t="shared" si="34"/>
        <v>S</v>
      </c>
      <c r="AX98" s="1" t="str">
        <f t="shared" si="34"/>
        <v xml:space="preserve"> </v>
      </c>
      <c r="AY98" s="1" t="str">
        <f t="shared" si="34"/>
        <v xml:space="preserve"> </v>
      </c>
      <c r="AZ98" s="1" t="str">
        <f t="shared" si="34"/>
        <v xml:space="preserve"> </v>
      </c>
      <c r="BA98" s="1" t="str">
        <f t="shared" si="34"/>
        <v xml:space="preserve"> </v>
      </c>
      <c r="BB98" s="1" t="str">
        <f t="shared" si="34"/>
        <v xml:space="preserve"> </v>
      </c>
      <c r="BC98" t="s">
        <v>43</v>
      </c>
      <c r="BD98" s="1" t="str">
        <f>AL98&amp;AM98&amp;AN98&amp;AO98&amp;AP98&amp;AQ98&amp;AR98&amp;AS98&amp;AT98&amp;AU98&amp;AV98&amp;AW98&amp;AX98&amp;AY98&amp;AZ98&amp;BA98&amp;BB98&amp;BC98&amp;AL99&amp;AM99&amp;AN99&amp;AO99&amp;AP99&amp;AQ99&amp;AR99&amp;AS99&amp;AT99&amp;AU99&amp;AV99&amp;AW99&amp;AX99&amp;AY99&amp;AZ99&amp;BA99&amp;BB99&amp;BC99&amp;CHAR(10)</f>
        <v xml:space="preserve">{"     OPCOES     ","&lt; LOOP-S3(A/P) &gt;"},
</v>
      </c>
    </row>
    <row r="99" spans="1:56" x14ac:dyDescent="0.25">
      <c r="A99" s="1" t="s">
        <v>14</v>
      </c>
      <c r="C99" s="1" t="s">
        <v>23</v>
      </c>
      <c r="D99" s="1" t="s">
        <v>19</v>
      </c>
      <c r="E99" s="1" t="s">
        <v>19</v>
      </c>
      <c r="F99" s="1" t="s">
        <v>11</v>
      </c>
      <c r="G99" s="1" t="s">
        <v>10</v>
      </c>
      <c r="H99" s="1" t="s">
        <v>2</v>
      </c>
      <c r="I99" s="1">
        <v>3</v>
      </c>
      <c r="J99" s="1" t="s">
        <v>46</v>
      </c>
      <c r="K99" s="1" t="s">
        <v>12</v>
      </c>
      <c r="L99" s="1" t="s">
        <v>48</v>
      </c>
      <c r="M99" s="1" t="s">
        <v>11</v>
      </c>
      <c r="N99" s="1" t="s">
        <v>47</v>
      </c>
      <c r="P99" s="1" t="s">
        <v>15</v>
      </c>
      <c r="AL99" t="s">
        <v>44</v>
      </c>
      <c r="AM99" s="1" t="str">
        <f t="shared" si="34"/>
        <v>&lt;</v>
      </c>
      <c r="AN99" s="1" t="str">
        <f t="shared" si="34"/>
        <v xml:space="preserve"> </v>
      </c>
      <c r="AO99" s="1" t="str">
        <f t="shared" si="34"/>
        <v>L</v>
      </c>
      <c r="AP99" s="1" t="str">
        <f t="shared" si="34"/>
        <v>O</v>
      </c>
      <c r="AQ99" s="1" t="str">
        <f t="shared" si="34"/>
        <v>O</v>
      </c>
      <c r="AR99" s="1" t="str">
        <f t="shared" si="34"/>
        <v>P</v>
      </c>
      <c r="AS99" s="1" t="str">
        <f t="shared" si="34"/>
        <v>-</v>
      </c>
      <c r="AT99" s="1" t="str">
        <f t="shared" si="34"/>
        <v>S</v>
      </c>
      <c r="AU99" s="1">
        <f t="shared" si="34"/>
        <v>3</v>
      </c>
      <c r="AV99" s="1" t="str">
        <f t="shared" si="34"/>
        <v>(</v>
      </c>
      <c r="AW99" s="1" t="str">
        <f t="shared" si="34"/>
        <v>A</v>
      </c>
      <c r="AX99" s="1" t="str">
        <f t="shared" si="34"/>
        <v>/</v>
      </c>
      <c r="AY99" s="1" t="str">
        <f t="shared" si="34"/>
        <v>P</v>
      </c>
      <c r="AZ99" s="1" t="str">
        <f t="shared" si="34"/>
        <v>)</v>
      </c>
      <c r="BA99" s="1" t="str">
        <f t="shared" si="34"/>
        <v xml:space="preserve"> </v>
      </c>
      <c r="BB99" s="1" t="str">
        <f t="shared" si="34"/>
        <v>&gt;</v>
      </c>
      <c r="BC99" t="s">
        <v>45</v>
      </c>
    </row>
    <row r="101" spans="1:56" x14ac:dyDescent="0.25">
      <c r="F101" s="1" t="s">
        <v>19</v>
      </c>
      <c r="G101" s="1" t="s">
        <v>11</v>
      </c>
      <c r="H101" s="1" t="s">
        <v>3</v>
      </c>
      <c r="I101" s="1" t="s">
        <v>19</v>
      </c>
      <c r="J101" s="1" t="s">
        <v>8</v>
      </c>
      <c r="K101" s="1" t="s">
        <v>2</v>
      </c>
      <c r="Q101" s="1">
        <v>33</v>
      </c>
      <c r="R101" s="1">
        <v>33</v>
      </c>
      <c r="S101" s="1">
        <v>34</v>
      </c>
      <c r="T101" s="13">
        <v>43</v>
      </c>
      <c r="U101" s="1">
        <v>33</v>
      </c>
      <c r="V101" s="1">
        <v>32</v>
      </c>
      <c r="W101" s="14">
        <v>3</v>
      </c>
      <c r="X101" s="1">
        <v>33</v>
      </c>
      <c r="Y101" s="16">
        <v>2</v>
      </c>
      <c r="Z101" s="1">
        <v>33</v>
      </c>
      <c r="AA101" s="1">
        <v>33</v>
      </c>
      <c r="AB101" s="1">
        <v>33</v>
      </c>
      <c r="AC101" s="1">
        <v>33</v>
      </c>
      <c r="AD101" s="1">
        <v>33</v>
      </c>
      <c r="AE101" s="17">
        <v>0</v>
      </c>
      <c r="AF101" s="1">
        <v>33</v>
      </c>
      <c r="AG101" s="18">
        <v>4</v>
      </c>
      <c r="AH101" t="str">
        <f>"{"&amp;R101&amp;","&amp;S101&amp;","&amp;T101&amp;","&amp;U101&amp;","&amp;V101&amp;","&amp;W101&amp;","&amp;X101&amp;","&amp;Y101&amp;","&amp;Z101&amp;","&amp;AA101&amp;","&amp;AB101&amp;","&amp;AC101&amp;","&amp;AD101&amp;","&amp;AE101&amp;","&amp;AF101&amp;","&amp;AG101&amp;"},"&amp;CHAR(10)</f>
        <v xml:space="preserve">{33,34,43,33,32,3,33,2,33,33,33,33,33,0,33,4},
</v>
      </c>
      <c r="AL101" t="s">
        <v>42</v>
      </c>
      <c r="AM101" s="1" t="str">
        <f t="shared" ref="AM101:BB102" si="35">IF(LEN(A101)=1,A101," ")</f>
        <v xml:space="preserve"> </v>
      </c>
      <c r="AN101" s="1" t="str">
        <f t="shared" si="35"/>
        <v xml:space="preserve"> </v>
      </c>
      <c r="AO101" s="1" t="str">
        <f t="shared" si="35"/>
        <v xml:space="preserve"> </v>
      </c>
      <c r="AP101" s="1" t="str">
        <f t="shared" si="35"/>
        <v xml:space="preserve"> </v>
      </c>
      <c r="AQ101" s="1" t="str">
        <f t="shared" si="35"/>
        <v xml:space="preserve"> </v>
      </c>
      <c r="AR101" s="1" t="str">
        <f t="shared" si="35"/>
        <v>O</v>
      </c>
      <c r="AS101" s="1" t="str">
        <f t="shared" si="35"/>
        <v>P</v>
      </c>
      <c r="AT101" s="1" t="str">
        <f t="shared" si="35"/>
        <v>C</v>
      </c>
      <c r="AU101" s="1" t="str">
        <f t="shared" si="35"/>
        <v>O</v>
      </c>
      <c r="AV101" s="1" t="str">
        <f t="shared" si="35"/>
        <v>E</v>
      </c>
      <c r="AW101" s="1" t="str">
        <f t="shared" si="35"/>
        <v>S</v>
      </c>
      <c r="AX101" s="1" t="str">
        <f t="shared" si="35"/>
        <v xml:space="preserve"> </v>
      </c>
      <c r="AY101" s="1" t="str">
        <f t="shared" si="35"/>
        <v xml:space="preserve"> </v>
      </c>
      <c r="AZ101" s="1" t="str">
        <f t="shared" si="35"/>
        <v xml:space="preserve"> </v>
      </c>
      <c r="BA101" s="1" t="str">
        <f t="shared" si="35"/>
        <v xml:space="preserve"> </v>
      </c>
      <c r="BB101" s="1" t="str">
        <f t="shared" si="35"/>
        <v xml:space="preserve"> </v>
      </c>
      <c r="BC101" t="s">
        <v>43</v>
      </c>
      <c r="BD101" s="1" t="str">
        <f>AL101&amp;AM101&amp;AN101&amp;AO101&amp;AP101&amp;AQ101&amp;AR101&amp;AS101&amp;AT101&amp;AU101&amp;AV101&amp;AW101&amp;AX101&amp;AY101&amp;AZ101&amp;BA101&amp;BB101&amp;BC101&amp;AL102&amp;AM102&amp;AN102&amp;AO102&amp;AP102&amp;AQ102&amp;AR102&amp;AS102&amp;AT102&amp;AU102&amp;AV102&amp;AW102&amp;AX102&amp;AY102&amp;AZ102&amp;BA102&amp;BB102&amp;BC102&amp;CHAR(10)</f>
        <v xml:space="preserve">{"     OPCOES     ","&lt; LOOP-S4(A/P) &gt;"},
</v>
      </c>
    </row>
    <row r="102" spans="1:56" x14ac:dyDescent="0.25">
      <c r="A102" s="1" t="s">
        <v>14</v>
      </c>
      <c r="C102" s="1" t="s">
        <v>23</v>
      </c>
      <c r="D102" s="1" t="s">
        <v>19</v>
      </c>
      <c r="E102" s="1" t="s">
        <v>19</v>
      </c>
      <c r="F102" s="1" t="s">
        <v>11</v>
      </c>
      <c r="G102" s="1" t="s">
        <v>10</v>
      </c>
      <c r="H102" s="1" t="s">
        <v>2</v>
      </c>
      <c r="I102" s="1">
        <v>4</v>
      </c>
      <c r="J102" s="1" t="s">
        <v>46</v>
      </c>
      <c r="K102" s="1" t="s">
        <v>12</v>
      </c>
      <c r="L102" s="1" t="s">
        <v>48</v>
      </c>
      <c r="M102" s="1" t="s">
        <v>11</v>
      </c>
      <c r="N102" s="1" t="s">
        <v>47</v>
      </c>
      <c r="P102" s="1" t="s">
        <v>15</v>
      </c>
      <c r="AL102" t="s">
        <v>44</v>
      </c>
      <c r="AM102" s="1" t="str">
        <f t="shared" si="35"/>
        <v>&lt;</v>
      </c>
      <c r="AN102" s="1" t="str">
        <f t="shared" si="35"/>
        <v xml:space="preserve"> </v>
      </c>
      <c r="AO102" s="1" t="str">
        <f t="shared" si="35"/>
        <v>L</v>
      </c>
      <c r="AP102" s="1" t="str">
        <f t="shared" si="35"/>
        <v>O</v>
      </c>
      <c r="AQ102" s="1" t="str">
        <f t="shared" si="35"/>
        <v>O</v>
      </c>
      <c r="AR102" s="1" t="str">
        <f t="shared" si="35"/>
        <v>P</v>
      </c>
      <c r="AS102" s="1" t="str">
        <f t="shared" si="35"/>
        <v>-</v>
      </c>
      <c r="AT102" s="1" t="str">
        <f t="shared" si="35"/>
        <v>S</v>
      </c>
      <c r="AU102" s="1">
        <f t="shared" si="35"/>
        <v>4</v>
      </c>
      <c r="AV102" s="1" t="str">
        <f t="shared" si="35"/>
        <v>(</v>
      </c>
      <c r="AW102" s="1" t="str">
        <f t="shared" si="35"/>
        <v>A</v>
      </c>
      <c r="AX102" s="1" t="str">
        <f t="shared" si="35"/>
        <v>/</v>
      </c>
      <c r="AY102" s="1" t="str">
        <f t="shared" si="35"/>
        <v>P</v>
      </c>
      <c r="AZ102" s="1" t="str">
        <f t="shared" si="35"/>
        <v>)</v>
      </c>
      <c r="BA102" s="1" t="str">
        <f t="shared" si="35"/>
        <v xml:space="preserve"> </v>
      </c>
      <c r="BB102" s="1" t="str">
        <f t="shared" si="35"/>
        <v>&gt;</v>
      </c>
      <c r="BC102" t="s">
        <v>45</v>
      </c>
    </row>
    <row r="104" spans="1:56" x14ac:dyDescent="0.25">
      <c r="F104" s="1" t="s">
        <v>19</v>
      </c>
      <c r="G104" s="1" t="s">
        <v>11</v>
      </c>
      <c r="H104" s="1" t="s">
        <v>3</v>
      </c>
      <c r="I104" s="1" t="s">
        <v>19</v>
      </c>
      <c r="J104" s="1" t="s">
        <v>8</v>
      </c>
      <c r="K104" s="1" t="s">
        <v>2</v>
      </c>
      <c r="Q104" s="1">
        <v>34</v>
      </c>
      <c r="R104" s="1">
        <v>34</v>
      </c>
      <c r="S104" s="1">
        <v>35</v>
      </c>
      <c r="T104" s="13">
        <v>43</v>
      </c>
      <c r="U104" s="1">
        <v>34</v>
      </c>
      <c r="V104" s="1">
        <v>33</v>
      </c>
      <c r="W104" s="14">
        <v>3</v>
      </c>
      <c r="X104" s="1">
        <v>34</v>
      </c>
      <c r="Y104" s="16">
        <v>2</v>
      </c>
      <c r="Z104" s="1">
        <v>34</v>
      </c>
      <c r="AA104" s="1">
        <v>34</v>
      </c>
      <c r="AB104" s="1">
        <v>34</v>
      </c>
      <c r="AC104" s="1">
        <v>34</v>
      </c>
      <c r="AD104" s="1">
        <v>34</v>
      </c>
      <c r="AE104" s="17">
        <v>0</v>
      </c>
      <c r="AF104" s="1">
        <v>34</v>
      </c>
      <c r="AG104" s="18">
        <v>4</v>
      </c>
      <c r="AH104" t="str">
        <f>"{"&amp;R104&amp;","&amp;S104&amp;","&amp;T104&amp;","&amp;U104&amp;","&amp;V104&amp;","&amp;W104&amp;","&amp;X104&amp;","&amp;Y104&amp;","&amp;Z104&amp;","&amp;AA104&amp;","&amp;AB104&amp;","&amp;AC104&amp;","&amp;AD104&amp;","&amp;AE104&amp;","&amp;AF104&amp;","&amp;AG104&amp;"},"&amp;CHAR(10)</f>
        <v xml:space="preserve">{34,35,43,34,33,3,34,2,34,34,34,34,34,0,34,4},
</v>
      </c>
      <c r="AL104" t="s">
        <v>42</v>
      </c>
      <c r="AM104" s="1" t="str">
        <f t="shared" ref="AM104:BB105" si="36">IF(LEN(A104)=1,A104," ")</f>
        <v xml:space="preserve"> </v>
      </c>
      <c r="AN104" s="1" t="str">
        <f t="shared" si="36"/>
        <v xml:space="preserve"> </v>
      </c>
      <c r="AO104" s="1" t="str">
        <f t="shared" si="36"/>
        <v xml:space="preserve"> </v>
      </c>
      <c r="AP104" s="1" t="str">
        <f t="shared" si="36"/>
        <v xml:space="preserve"> </v>
      </c>
      <c r="AQ104" s="1" t="str">
        <f t="shared" si="36"/>
        <v xml:space="preserve"> </v>
      </c>
      <c r="AR104" s="1" t="str">
        <f t="shared" si="36"/>
        <v>O</v>
      </c>
      <c r="AS104" s="1" t="str">
        <f t="shared" si="36"/>
        <v>P</v>
      </c>
      <c r="AT104" s="1" t="str">
        <f t="shared" si="36"/>
        <v>C</v>
      </c>
      <c r="AU104" s="1" t="str">
        <f t="shared" si="36"/>
        <v>O</v>
      </c>
      <c r="AV104" s="1" t="str">
        <f t="shared" si="36"/>
        <v>E</v>
      </c>
      <c r="AW104" s="1" t="str">
        <f t="shared" si="36"/>
        <v>S</v>
      </c>
      <c r="AX104" s="1" t="str">
        <f t="shared" si="36"/>
        <v xml:space="preserve"> </v>
      </c>
      <c r="AY104" s="1" t="str">
        <f t="shared" si="36"/>
        <v xml:space="preserve"> </v>
      </c>
      <c r="AZ104" s="1" t="str">
        <f t="shared" si="36"/>
        <v xml:space="preserve"> </v>
      </c>
      <c r="BA104" s="1" t="str">
        <f t="shared" si="36"/>
        <v xml:space="preserve"> </v>
      </c>
      <c r="BB104" s="1" t="str">
        <f t="shared" si="36"/>
        <v xml:space="preserve"> </v>
      </c>
      <c r="BC104" t="s">
        <v>43</v>
      </c>
      <c r="BD104" s="1" t="str">
        <f>AL104&amp;AM104&amp;AN104&amp;AO104&amp;AP104&amp;AQ104&amp;AR104&amp;AS104&amp;AT104&amp;AU104&amp;AV104&amp;AW104&amp;AX104&amp;AY104&amp;AZ104&amp;BA104&amp;BB104&amp;BC104&amp;AL105&amp;AM105&amp;AN105&amp;AO105&amp;AP105&amp;AQ105&amp;AR105&amp;AS105&amp;AT105&amp;AU105&amp;AV105&amp;AW105&amp;AX105&amp;AY105&amp;AZ105&amp;BA105&amp;BB105&amp;BC105&amp;CHAR(10)</f>
        <v xml:space="preserve">{"     OPCOES     ","&lt; LOOP-S5(A/P) &gt;"},
</v>
      </c>
    </row>
    <row r="105" spans="1:56" x14ac:dyDescent="0.25">
      <c r="A105" s="1" t="s">
        <v>14</v>
      </c>
      <c r="C105" s="1" t="s">
        <v>23</v>
      </c>
      <c r="D105" s="1" t="s">
        <v>19</v>
      </c>
      <c r="E105" s="1" t="s">
        <v>19</v>
      </c>
      <c r="F105" s="1" t="s">
        <v>11</v>
      </c>
      <c r="G105" s="1" t="s">
        <v>10</v>
      </c>
      <c r="H105" s="1" t="s">
        <v>2</v>
      </c>
      <c r="I105" s="1">
        <v>5</v>
      </c>
      <c r="J105" s="1" t="s">
        <v>46</v>
      </c>
      <c r="K105" s="1" t="s">
        <v>12</v>
      </c>
      <c r="L105" s="1" t="s">
        <v>48</v>
      </c>
      <c r="M105" s="1" t="s">
        <v>11</v>
      </c>
      <c r="N105" s="1" t="s">
        <v>47</v>
      </c>
      <c r="P105" s="1" t="s">
        <v>15</v>
      </c>
      <c r="AL105" t="s">
        <v>44</v>
      </c>
      <c r="AM105" s="1" t="str">
        <f t="shared" si="36"/>
        <v>&lt;</v>
      </c>
      <c r="AN105" s="1" t="str">
        <f t="shared" si="36"/>
        <v xml:space="preserve"> </v>
      </c>
      <c r="AO105" s="1" t="str">
        <f t="shared" si="36"/>
        <v>L</v>
      </c>
      <c r="AP105" s="1" t="str">
        <f t="shared" si="36"/>
        <v>O</v>
      </c>
      <c r="AQ105" s="1" t="str">
        <f t="shared" si="36"/>
        <v>O</v>
      </c>
      <c r="AR105" s="1" t="str">
        <f t="shared" si="36"/>
        <v>P</v>
      </c>
      <c r="AS105" s="1" t="str">
        <f t="shared" si="36"/>
        <v>-</v>
      </c>
      <c r="AT105" s="1" t="str">
        <f t="shared" si="36"/>
        <v>S</v>
      </c>
      <c r="AU105" s="1">
        <f t="shared" si="36"/>
        <v>5</v>
      </c>
      <c r="AV105" s="1" t="str">
        <f t="shared" si="36"/>
        <v>(</v>
      </c>
      <c r="AW105" s="1" t="str">
        <f t="shared" si="36"/>
        <v>A</v>
      </c>
      <c r="AX105" s="1" t="str">
        <f t="shared" si="36"/>
        <v>/</v>
      </c>
      <c r="AY105" s="1" t="str">
        <f t="shared" si="36"/>
        <v>P</v>
      </c>
      <c r="AZ105" s="1" t="str">
        <f t="shared" si="36"/>
        <v>)</v>
      </c>
      <c r="BA105" s="1" t="str">
        <f t="shared" si="36"/>
        <v xml:space="preserve"> </v>
      </c>
      <c r="BB105" s="1" t="str">
        <f t="shared" si="36"/>
        <v>&gt;</v>
      </c>
      <c r="BC105" t="s">
        <v>45</v>
      </c>
    </row>
    <row r="107" spans="1:56" x14ac:dyDescent="0.25">
      <c r="F107" s="1" t="s">
        <v>19</v>
      </c>
      <c r="G107" s="1" t="s">
        <v>11</v>
      </c>
      <c r="H107" s="1" t="s">
        <v>3</v>
      </c>
      <c r="I107" s="1" t="s">
        <v>19</v>
      </c>
      <c r="J107" s="1" t="s">
        <v>8</v>
      </c>
      <c r="K107" s="1" t="s">
        <v>2</v>
      </c>
      <c r="Q107" s="1">
        <v>35</v>
      </c>
      <c r="R107" s="1">
        <v>35</v>
      </c>
      <c r="S107" s="1">
        <v>36</v>
      </c>
      <c r="T107" s="13">
        <v>44</v>
      </c>
      <c r="U107" s="1">
        <v>35</v>
      </c>
      <c r="V107" s="1">
        <v>34</v>
      </c>
      <c r="W107" s="14">
        <v>3</v>
      </c>
      <c r="X107" s="1">
        <v>35</v>
      </c>
      <c r="Y107" s="16">
        <v>2</v>
      </c>
      <c r="Z107" s="1">
        <v>35</v>
      </c>
      <c r="AA107" s="1">
        <v>35</v>
      </c>
      <c r="AB107" s="1">
        <v>35</v>
      </c>
      <c r="AC107" s="1">
        <v>35</v>
      </c>
      <c r="AD107" s="1">
        <v>35</v>
      </c>
      <c r="AE107" s="17">
        <v>0</v>
      </c>
      <c r="AF107" s="1">
        <v>35</v>
      </c>
      <c r="AG107" s="18">
        <v>4</v>
      </c>
      <c r="AH107" t="str">
        <f>"{"&amp;R107&amp;","&amp;S107&amp;","&amp;T107&amp;","&amp;U107&amp;","&amp;V107&amp;","&amp;W107&amp;","&amp;X107&amp;","&amp;Y107&amp;","&amp;Z107&amp;","&amp;AA107&amp;","&amp;AB107&amp;","&amp;AC107&amp;","&amp;AD107&amp;","&amp;AE107&amp;","&amp;AF107&amp;","&amp;AG107&amp;"},"&amp;CHAR(10)</f>
        <v xml:space="preserve">{35,36,44,35,34,3,35,2,35,35,35,35,35,0,35,4},
</v>
      </c>
      <c r="AL107" t="s">
        <v>42</v>
      </c>
      <c r="AM107" s="1" t="str">
        <f t="shared" ref="AM107:BB108" si="37">IF(LEN(A107)=1,A107," ")</f>
        <v xml:space="preserve"> </v>
      </c>
      <c r="AN107" s="1" t="str">
        <f t="shared" si="37"/>
        <v xml:space="preserve"> </v>
      </c>
      <c r="AO107" s="1" t="str">
        <f t="shared" si="37"/>
        <v xml:space="preserve"> </v>
      </c>
      <c r="AP107" s="1" t="str">
        <f t="shared" si="37"/>
        <v xml:space="preserve"> </v>
      </c>
      <c r="AQ107" s="1" t="str">
        <f t="shared" si="37"/>
        <v xml:space="preserve"> </v>
      </c>
      <c r="AR107" s="1" t="str">
        <f t="shared" si="37"/>
        <v>O</v>
      </c>
      <c r="AS107" s="1" t="str">
        <f t="shared" si="37"/>
        <v>P</v>
      </c>
      <c r="AT107" s="1" t="str">
        <f t="shared" si="37"/>
        <v>C</v>
      </c>
      <c r="AU107" s="1" t="str">
        <f t="shared" si="37"/>
        <v>O</v>
      </c>
      <c r="AV107" s="1" t="str">
        <f t="shared" si="37"/>
        <v>E</v>
      </c>
      <c r="AW107" s="1" t="str">
        <f t="shared" si="37"/>
        <v>S</v>
      </c>
      <c r="AX107" s="1" t="str">
        <f t="shared" si="37"/>
        <v xml:space="preserve"> </v>
      </c>
      <c r="AY107" s="1" t="str">
        <f t="shared" si="37"/>
        <v xml:space="preserve"> </v>
      </c>
      <c r="AZ107" s="1" t="str">
        <f t="shared" si="37"/>
        <v xml:space="preserve"> </v>
      </c>
      <c r="BA107" s="1" t="str">
        <f t="shared" si="37"/>
        <v xml:space="preserve"> </v>
      </c>
      <c r="BB107" s="1" t="str">
        <f t="shared" si="37"/>
        <v xml:space="preserve"> </v>
      </c>
      <c r="BC107" t="s">
        <v>43</v>
      </c>
      <c r="BD107" s="1" t="str">
        <f>AL107&amp;AM107&amp;AN107&amp;AO107&amp;AP107&amp;AQ107&amp;AR107&amp;AS107&amp;AT107&amp;AU107&amp;AV107&amp;AW107&amp;AX107&amp;AY107&amp;AZ107&amp;BA107&amp;BB107&amp;BC107&amp;AL108&amp;AM108&amp;AN108&amp;AO108&amp;AP108&amp;AQ108&amp;AR108&amp;AS108&amp;AT108&amp;AU108&amp;AV108&amp;AW108&amp;AX108&amp;AY108&amp;AZ108&amp;BA108&amp;BB108&amp;BC108&amp;CHAR(10)</f>
        <v xml:space="preserve">{"     OPCOES     ","&lt;VOLT-X0(5/12V)&gt;"},
</v>
      </c>
    </row>
    <row r="108" spans="1:56" x14ac:dyDescent="0.25">
      <c r="A108" s="1" t="s">
        <v>14</v>
      </c>
      <c r="B108" s="1" t="s">
        <v>5</v>
      </c>
      <c r="C108" s="1" t="s">
        <v>19</v>
      </c>
      <c r="D108" s="1" t="s">
        <v>23</v>
      </c>
      <c r="E108" s="1" t="s">
        <v>6</v>
      </c>
      <c r="F108" s="1" t="s">
        <v>10</v>
      </c>
      <c r="G108" s="1" t="s">
        <v>65</v>
      </c>
      <c r="H108" s="1">
        <v>0</v>
      </c>
      <c r="I108" s="1" t="s">
        <v>46</v>
      </c>
      <c r="J108" s="1">
        <v>5</v>
      </c>
      <c r="K108" s="1" t="s">
        <v>48</v>
      </c>
      <c r="L108" s="1">
        <v>1</v>
      </c>
      <c r="M108" s="1">
        <v>2</v>
      </c>
      <c r="N108" s="1" t="s">
        <v>5</v>
      </c>
      <c r="O108" s="1" t="s">
        <v>47</v>
      </c>
      <c r="P108" s="1" t="s">
        <v>15</v>
      </c>
      <c r="AL108" t="s">
        <v>44</v>
      </c>
      <c r="AM108" s="1" t="str">
        <f t="shared" si="37"/>
        <v>&lt;</v>
      </c>
      <c r="AN108" s="1" t="str">
        <f t="shared" si="37"/>
        <v>V</v>
      </c>
      <c r="AO108" s="1" t="str">
        <f t="shared" si="37"/>
        <v>O</v>
      </c>
      <c r="AP108" s="1" t="str">
        <f t="shared" si="37"/>
        <v>L</v>
      </c>
      <c r="AQ108" s="1" t="str">
        <f t="shared" si="37"/>
        <v>T</v>
      </c>
      <c r="AR108" s="1" t="str">
        <f t="shared" si="37"/>
        <v>-</v>
      </c>
      <c r="AS108" s="1" t="str">
        <f t="shared" si="37"/>
        <v>X</v>
      </c>
      <c r="AT108" s="1">
        <f t="shared" si="37"/>
        <v>0</v>
      </c>
      <c r="AU108" s="1" t="str">
        <f t="shared" si="37"/>
        <v>(</v>
      </c>
      <c r="AV108" s="1">
        <f t="shared" si="37"/>
        <v>5</v>
      </c>
      <c r="AW108" s="1" t="str">
        <f t="shared" si="37"/>
        <v>/</v>
      </c>
      <c r="AX108" s="1">
        <f t="shared" si="37"/>
        <v>1</v>
      </c>
      <c r="AY108" s="1">
        <f t="shared" si="37"/>
        <v>2</v>
      </c>
      <c r="AZ108" s="1" t="str">
        <f t="shared" si="37"/>
        <v>V</v>
      </c>
      <c r="BA108" s="1" t="str">
        <f t="shared" si="37"/>
        <v>)</v>
      </c>
      <c r="BB108" s="1" t="str">
        <f t="shared" si="37"/>
        <v>&gt;</v>
      </c>
      <c r="BC108" t="s">
        <v>45</v>
      </c>
    </row>
    <row r="110" spans="1:56" x14ac:dyDescent="0.25">
      <c r="F110" s="1" t="s">
        <v>19</v>
      </c>
      <c r="G110" s="1" t="s">
        <v>11</v>
      </c>
      <c r="H110" s="1" t="s">
        <v>3</v>
      </c>
      <c r="I110" s="1" t="s">
        <v>19</v>
      </c>
      <c r="J110" s="1" t="s">
        <v>8</v>
      </c>
      <c r="K110" s="1" t="s">
        <v>2</v>
      </c>
      <c r="Q110" s="1">
        <v>36</v>
      </c>
      <c r="R110" s="1">
        <v>36</v>
      </c>
      <c r="S110" s="1">
        <v>37</v>
      </c>
      <c r="T110" s="13">
        <v>44</v>
      </c>
      <c r="U110" s="1">
        <v>36</v>
      </c>
      <c r="V110" s="1">
        <v>35</v>
      </c>
      <c r="W110" s="14">
        <v>3</v>
      </c>
      <c r="X110" s="1">
        <v>36</v>
      </c>
      <c r="Y110" s="16">
        <v>2</v>
      </c>
      <c r="Z110" s="1">
        <v>36</v>
      </c>
      <c r="AA110" s="1">
        <v>36</v>
      </c>
      <c r="AB110" s="1">
        <v>36</v>
      </c>
      <c r="AC110" s="1">
        <v>36</v>
      </c>
      <c r="AD110" s="1">
        <v>36</v>
      </c>
      <c r="AE110" s="17">
        <v>0</v>
      </c>
      <c r="AF110" s="1">
        <v>36</v>
      </c>
      <c r="AG110" s="18">
        <v>4</v>
      </c>
      <c r="AH110" t="str">
        <f>"{"&amp;R110&amp;","&amp;S110&amp;","&amp;T110&amp;","&amp;U110&amp;","&amp;V110&amp;","&amp;W110&amp;","&amp;X110&amp;","&amp;Y110&amp;","&amp;Z110&amp;","&amp;AA110&amp;","&amp;AB110&amp;","&amp;AC110&amp;","&amp;AD110&amp;","&amp;AE110&amp;","&amp;AF110&amp;","&amp;AG110&amp;"},"&amp;CHAR(10)</f>
        <v xml:space="preserve">{36,37,44,36,35,3,36,2,36,36,36,36,36,0,36,4},
</v>
      </c>
      <c r="AL110" t="s">
        <v>42</v>
      </c>
      <c r="AM110" s="1" t="str">
        <f t="shared" ref="AM110:BB111" si="38">IF(LEN(A110)=1,A110," ")</f>
        <v xml:space="preserve"> </v>
      </c>
      <c r="AN110" s="1" t="str">
        <f t="shared" si="38"/>
        <v xml:space="preserve"> </v>
      </c>
      <c r="AO110" s="1" t="str">
        <f t="shared" si="38"/>
        <v xml:space="preserve"> </v>
      </c>
      <c r="AP110" s="1" t="str">
        <f t="shared" si="38"/>
        <v xml:space="preserve"> </v>
      </c>
      <c r="AQ110" s="1" t="str">
        <f t="shared" si="38"/>
        <v xml:space="preserve"> </v>
      </c>
      <c r="AR110" s="1" t="str">
        <f t="shared" si="38"/>
        <v>O</v>
      </c>
      <c r="AS110" s="1" t="str">
        <f t="shared" si="38"/>
        <v>P</v>
      </c>
      <c r="AT110" s="1" t="str">
        <f t="shared" si="38"/>
        <v>C</v>
      </c>
      <c r="AU110" s="1" t="str">
        <f t="shared" si="38"/>
        <v>O</v>
      </c>
      <c r="AV110" s="1" t="str">
        <f t="shared" si="38"/>
        <v>E</v>
      </c>
      <c r="AW110" s="1" t="str">
        <f t="shared" si="38"/>
        <v>S</v>
      </c>
      <c r="AX110" s="1" t="str">
        <f t="shared" si="38"/>
        <v xml:space="preserve"> </v>
      </c>
      <c r="AY110" s="1" t="str">
        <f t="shared" si="38"/>
        <v xml:space="preserve"> </v>
      </c>
      <c r="AZ110" s="1" t="str">
        <f t="shared" si="38"/>
        <v xml:space="preserve"> </v>
      </c>
      <c r="BA110" s="1" t="str">
        <f t="shared" si="38"/>
        <v xml:space="preserve"> </v>
      </c>
      <c r="BB110" s="1" t="str">
        <f t="shared" si="38"/>
        <v xml:space="preserve"> </v>
      </c>
      <c r="BC110" t="s">
        <v>43</v>
      </c>
      <c r="BD110" s="1" t="str">
        <f>AL110&amp;AM110&amp;AN110&amp;AO110&amp;AP110&amp;AQ110&amp;AR110&amp;AS110&amp;AT110&amp;AU110&amp;AV110&amp;AW110&amp;AX110&amp;AY110&amp;AZ110&amp;BA110&amp;BB110&amp;BC110&amp;AL111&amp;AM111&amp;AN111&amp;AO111&amp;AP111&amp;AQ111&amp;AR111&amp;AS111&amp;AT111&amp;AU111&amp;AV111&amp;AW111&amp;AX111&amp;AY111&amp;AZ111&amp;BA111&amp;BB111&amp;BC111&amp;CHAR(10)</f>
        <v xml:space="preserve">{"     OPCOES     ","&lt;VOLT-X1(5/12V)&gt;"},
</v>
      </c>
    </row>
    <row r="111" spans="1:56" x14ac:dyDescent="0.25">
      <c r="A111" s="1" t="s">
        <v>14</v>
      </c>
      <c r="B111" s="1" t="s">
        <v>5</v>
      </c>
      <c r="C111" s="1" t="s">
        <v>19</v>
      </c>
      <c r="D111" s="1" t="s">
        <v>23</v>
      </c>
      <c r="E111" s="1" t="s">
        <v>6</v>
      </c>
      <c r="F111" s="1" t="s">
        <v>10</v>
      </c>
      <c r="G111" s="1" t="s">
        <v>65</v>
      </c>
      <c r="H111" s="1">
        <v>1</v>
      </c>
      <c r="I111" s="1" t="s">
        <v>46</v>
      </c>
      <c r="J111" s="1">
        <v>5</v>
      </c>
      <c r="K111" s="1" t="s">
        <v>48</v>
      </c>
      <c r="L111" s="1">
        <v>1</v>
      </c>
      <c r="M111" s="1">
        <v>2</v>
      </c>
      <c r="N111" s="1" t="s">
        <v>5</v>
      </c>
      <c r="O111" s="1" t="s">
        <v>47</v>
      </c>
      <c r="P111" s="1" t="s">
        <v>15</v>
      </c>
      <c r="AL111" t="s">
        <v>44</v>
      </c>
      <c r="AM111" s="1" t="str">
        <f t="shared" si="38"/>
        <v>&lt;</v>
      </c>
      <c r="AN111" s="1" t="str">
        <f t="shared" si="38"/>
        <v>V</v>
      </c>
      <c r="AO111" s="1" t="str">
        <f t="shared" si="38"/>
        <v>O</v>
      </c>
      <c r="AP111" s="1" t="str">
        <f t="shared" si="38"/>
        <v>L</v>
      </c>
      <c r="AQ111" s="1" t="str">
        <f t="shared" si="38"/>
        <v>T</v>
      </c>
      <c r="AR111" s="1" t="str">
        <f t="shared" si="38"/>
        <v>-</v>
      </c>
      <c r="AS111" s="1" t="str">
        <f t="shared" si="38"/>
        <v>X</v>
      </c>
      <c r="AT111" s="1">
        <f t="shared" si="38"/>
        <v>1</v>
      </c>
      <c r="AU111" s="1" t="str">
        <f t="shared" si="38"/>
        <v>(</v>
      </c>
      <c r="AV111" s="1">
        <f t="shared" si="38"/>
        <v>5</v>
      </c>
      <c r="AW111" s="1" t="str">
        <f t="shared" si="38"/>
        <v>/</v>
      </c>
      <c r="AX111" s="1">
        <f t="shared" si="38"/>
        <v>1</v>
      </c>
      <c r="AY111" s="1">
        <f t="shared" si="38"/>
        <v>2</v>
      </c>
      <c r="AZ111" s="1" t="str">
        <f t="shared" si="38"/>
        <v>V</v>
      </c>
      <c r="BA111" s="1" t="str">
        <f t="shared" si="38"/>
        <v>)</v>
      </c>
      <c r="BB111" s="1" t="str">
        <f t="shared" si="38"/>
        <v>&gt;</v>
      </c>
      <c r="BC111" t="s">
        <v>45</v>
      </c>
    </row>
    <row r="113" spans="1:56" x14ac:dyDescent="0.25">
      <c r="F113" s="1" t="s">
        <v>19</v>
      </c>
      <c r="G113" s="1" t="s">
        <v>11</v>
      </c>
      <c r="H113" s="1" t="s">
        <v>3</v>
      </c>
      <c r="I113" s="1" t="s">
        <v>19</v>
      </c>
      <c r="J113" s="1" t="s">
        <v>8</v>
      </c>
      <c r="K113" s="1" t="s">
        <v>2</v>
      </c>
      <c r="Q113" s="1">
        <v>37</v>
      </c>
      <c r="R113" s="1">
        <v>37</v>
      </c>
      <c r="S113" s="1">
        <v>38</v>
      </c>
      <c r="T113" s="13">
        <v>44</v>
      </c>
      <c r="U113" s="1">
        <v>37</v>
      </c>
      <c r="V113" s="1">
        <v>36</v>
      </c>
      <c r="W113" s="14">
        <v>3</v>
      </c>
      <c r="X113" s="1">
        <v>37</v>
      </c>
      <c r="Y113" s="16">
        <v>2</v>
      </c>
      <c r="Z113" s="1">
        <v>37</v>
      </c>
      <c r="AA113" s="1">
        <v>37</v>
      </c>
      <c r="AB113" s="1">
        <v>37</v>
      </c>
      <c r="AC113" s="1">
        <v>37</v>
      </c>
      <c r="AD113" s="1">
        <v>37</v>
      </c>
      <c r="AE113" s="17">
        <v>0</v>
      </c>
      <c r="AF113" s="1">
        <v>37</v>
      </c>
      <c r="AG113" s="18">
        <v>4</v>
      </c>
      <c r="AH113" t="str">
        <f>"{"&amp;R113&amp;","&amp;S113&amp;","&amp;T113&amp;","&amp;U113&amp;","&amp;V113&amp;","&amp;W113&amp;","&amp;X113&amp;","&amp;Y113&amp;","&amp;Z113&amp;","&amp;AA113&amp;","&amp;AB113&amp;","&amp;AC113&amp;","&amp;AD113&amp;","&amp;AE113&amp;","&amp;AF113&amp;","&amp;AG113&amp;"},"&amp;CHAR(10)</f>
        <v xml:space="preserve">{37,38,44,37,36,3,37,2,37,37,37,37,37,0,37,4},
</v>
      </c>
      <c r="AL113" t="s">
        <v>42</v>
      </c>
      <c r="AM113" s="1" t="str">
        <f t="shared" ref="AM113:BB114" si="39">IF(LEN(A113)=1,A113," ")</f>
        <v xml:space="preserve"> </v>
      </c>
      <c r="AN113" s="1" t="str">
        <f t="shared" si="39"/>
        <v xml:space="preserve"> </v>
      </c>
      <c r="AO113" s="1" t="str">
        <f t="shared" si="39"/>
        <v xml:space="preserve"> </v>
      </c>
      <c r="AP113" s="1" t="str">
        <f t="shared" si="39"/>
        <v xml:space="preserve"> </v>
      </c>
      <c r="AQ113" s="1" t="str">
        <f t="shared" si="39"/>
        <v xml:space="preserve"> </v>
      </c>
      <c r="AR113" s="1" t="str">
        <f t="shared" si="39"/>
        <v>O</v>
      </c>
      <c r="AS113" s="1" t="str">
        <f t="shared" si="39"/>
        <v>P</v>
      </c>
      <c r="AT113" s="1" t="str">
        <f t="shared" si="39"/>
        <v>C</v>
      </c>
      <c r="AU113" s="1" t="str">
        <f t="shared" si="39"/>
        <v>O</v>
      </c>
      <c r="AV113" s="1" t="str">
        <f t="shared" si="39"/>
        <v>E</v>
      </c>
      <c r="AW113" s="1" t="str">
        <f t="shared" si="39"/>
        <v>S</v>
      </c>
      <c r="AX113" s="1" t="str">
        <f t="shared" si="39"/>
        <v xml:space="preserve"> </v>
      </c>
      <c r="AY113" s="1" t="str">
        <f t="shared" si="39"/>
        <v xml:space="preserve"> </v>
      </c>
      <c r="AZ113" s="1" t="str">
        <f t="shared" si="39"/>
        <v xml:space="preserve"> </v>
      </c>
      <c r="BA113" s="1" t="str">
        <f t="shared" si="39"/>
        <v xml:space="preserve"> </v>
      </c>
      <c r="BB113" s="1" t="str">
        <f t="shared" si="39"/>
        <v xml:space="preserve"> </v>
      </c>
      <c r="BC113" t="s">
        <v>43</v>
      </c>
      <c r="BD113" s="1" t="str">
        <f>AL113&amp;AM113&amp;AN113&amp;AO113&amp;AP113&amp;AQ113&amp;AR113&amp;AS113&amp;AT113&amp;AU113&amp;AV113&amp;AW113&amp;AX113&amp;AY113&amp;AZ113&amp;BA113&amp;BB113&amp;BC113&amp;AL114&amp;AM114&amp;AN114&amp;AO114&amp;AP114&amp;AQ114&amp;AR114&amp;AS114&amp;AT114&amp;AU114&amp;AV114&amp;AW114&amp;AX114&amp;AY114&amp;AZ114&amp;BA114&amp;BB114&amp;BC114&amp;CHAR(10)</f>
        <v xml:space="preserve">{"     OPCOES     ","&lt;VOLT-X2(5/12V)&gt;"},
</v>
      </c>
    </row>
    <row r="114" spans="1:56" x14ac:dyDescent="0.25">
      <c r="A114" s="1" t="s">
        <v>14</v>
      </c>
      <c r="B114" s="1" t="s">
        <v>5</v>
      </c>
      <c r="C114" s="1" t="s">
        <v>19</v>
      </c>
      <c r="D114" s="1" t="s">
        <v>23</v>
      </c>
      <c r="E114" s="1" t="s">
        <v>6</v>
      </c>
      <c r="F114" s="1" t="s">
        <v>10</v>
      </c>
      <c r="G114" s="1" t="s">
        <v>65</v>
      </c>
      <c r="H114" s="1">
        <v>2</v>
      </c>
      <c r="I114" s="1" t="s">
        <v>46</v>
      </c>
      <c r="J114" s="1">
        <v>5</v>
      </c>
      <c r="K114" s="1" t="s">
        <v>48</v>
      </c>
      <c r="L114" s="1">
        <v>1</v>
      </c>
      <c r="M114" s="1">
        <v>2</v>
      </c>
      <c r="N114" s="1" t="s">
        <v>5</v>
      </c>
      <c r="O114" s="1" t="s">
        <v>47</v>
      </c>
      <c r="P114" s="1" t="s">
        <v>15</v>
      </c>
      <c r="AL114" t="s">
        <v>44</v>
      </c>
      <c r="AM114" s="1" t="str">
        <f t="shared" si="39"/>
        <v>&lt;</v>
      </c>
      <c r="AN114" s="1" t="str">
        <f t="shared" si="39"/>
        <v>V</v>
      </c>
      <c r="AO114" s="1" t="str">
        <f t="shared" si="39"/>
        <v>O</v>
      </c>
      <c r="AP114" s="1" t="str">
        <f t="shared" si="39"/>
        <v>L</v>
      </c>
      <c r="AQ114" s="1" t="str">
        <f t="shared" si="39"/>
        <v>T</v>
      </c>
      <c r="AR114" s="1" t="str">
        <f t="shared" si="39"/>
        <v>-</v>
      </c>
      <c r="AS114" s="1" t="str">
        <f t="shared" si="39"/>
        <v>X</v>
      </c>
      <c r="AT114" s="1">
        <f t="shared" si="39"/>
        <v>2</v>
      </c>
      <c r="AU114" s="1" t="str">
        <f t="shared" si="39"/>
        <v>(</v>
      </c>
      <c r="AV114" s="1">
        <f t="shared" si="39"/>
        <v>5</v>
      </c>
      <c r="AW114" s="1" t="str">
        <f t="shared" si="39"/>
        <v>/</v>
      </c>
      <c r="AX114" s="1">
        <f t="shared" si="39"/>
        <v>1</v>
      </c>
      <c r="AY114" s="1">
        <f t="shared" si="39"/>
        <v>2</v>
      </c>
      <c r="AZ114" s="1" t="str">
        <f t="shared" si="39"/>
        <v>V</v>
      </c>
      <c r="BA114" s="1" t="str">
        <f t="shared" si="39"/>
        <v>)</v>
      </c>
      <c r="BB114" s="1" t="str">
        <f t="shared" si="39"/>
        <v>&gt;</v>
      </c>
      <c r="BC114" t="s">
        <v>45</v>
      </c>
    </row>
    <row r="116" spans="1:56" x14ac:dyDescent="0.25">
      <c r="F116" s="1" t="s">
        <v>19</v>
      </c>
      <c r="G116" s="1" t="s">
        <v>11</v>
      </c>
      <c r="H116" s="1" t="s">
        <v>3</v>
      </c>
      <c r="I116" s="1" t="s">
        <v>19</v>
      </c>
      <c r="J116" s="1" t="s">
        <v>8</v>
      </c>
      <c r="K116" s="1" t="s">
        <v>2</v>
      </c>
      <c r="Q116" s="1">
        <v>38</v>
      </c>
      <c r="R116" s="1">
        <v>38</v>
      </c>
      <c r="S116" s="1">
        <v>39</v>
      </c>
      <c r="T116" s="13">
        <v>44</v>
      </c>
      <c r="U116" s="1">
        <v>38</v>
      </c>
      <c r="V116" s="1">
        <v>37</v>
      </c>
      <c r="W116" s="14">
        <v>3</v>
      </c>
      <c r="X116" s="1">
        <v>38</v>
      </c>
      <c r="Y116" s="16">
        <v>2</v>
      </c>
      <c r="Z116" s="1">
        <v>38</v>
      </c>
      <c r="AA116" s="1">
        <v>38</v>
      </c>
      <c r="AB116" s="1">
        <v>38</v>
      </c>
      <c r="AC116" s="1">
        <v>38</v>
      </c>
      <c r="AD116" s="1">
        <v>38</v>
      </c>
      <c r="AE116" s="17">
        <v>0</v>
      </c>
      <c r="AF116" s="1">
        <v>38</v>
      </c>
      <c r="AG116" s="18">
        <v>4</v>
      </c>
      <c r="AH116" t="str">
        <f>"{"&amp;R116&amp;","&amp;S116&amp;","&amp;T116&amp;","&amp;U116&amp;","&amp;V116&amp;","&amp;W116&amp;","&amp;X116&amp;","&amp;Y116&amp;","&amp;Z116&amp;","&amp;AA116&amp;","&amp;AB116&amp;","&amp;AC116&amp;","&amp;AD116&amp;","&amp;AE116&amp;","&amp;AF116&amp;","&amp;AG116&amp;"},"&amp;CHAR(10)</f>
        <v xml:space="preserve">{38,39,44,38,37,3,38,2,38,38,38,38,38,0,38,4},
</v>
      </c>
      <c r="AL116" t="s">
        <v>42</v>
      </c>
      <c r="AM116" s="1" t="str">
        <f t="shared" ref="AM116:BB117" si="40">IF(LEN(A116)=1,A116," ")</f>
        <v xml:space="preserve"> </v>
      </c>
      <c r="AN116" s="1" t="str">
        <f t="shared" si="40"/>
        <v xml:space="preserve"> </v>
      </c>
      <c r="AO116" s="1" t="str">
        <f t="shared" si="40"/>
        <v xml:space="preserve"> </v>
      </c>
      <c r="AP116" s="1" t="str">
        <f t="shared" si="40"/>
        <v xml:space="preserve"> </v>
      </c>
      <c r="AQ116" s="1" t="str">
        <f t="shared" si="40"/>
        <v xml:space="preserve"> </v>
      </c>
      <c r="AR116" s="1" t="str">
        <f t="shared" si="40"/>
        <v>O</v>
      </c>
      <c r="AS116" s="1" t="str">
        <f t="shared" si="40"/>
        <v>P</v>
      </c>
      <c r="AT116" s="1" t="str">
        <f t="shared" si="40"/>
        <v>C</v>
      </c>
      <c r="AU116" s="1" t="str">
        <f t="shared" si="40"/>
        <v>O</v>
      </c>
      <c r="AV116" s="1" t="str">
        <f t="shared" si="40"/>
        <v>E</v>
      </c>
      <c r="AW116" s="1" t="str">
        <f t="shared" si="40"/>
        <v>S</v>
      </c>
      <c r="AX116" s="1" t="str">
        <f t="shared" si="40"/>
        <v xml:space="preserve"> </v>
      </c>
      <c r="AY116" s="1" t="str">
        <f t="shared" si="40"/>
        <v xml:space="preserve"> </v>
      </c>
      <c r="AZ116" s="1" t="str">
        <f t="shared" si="40"/>
        <v xml:space="preserve"> </v>
      </c>
      <c r="BA116" s="1" t="str">
        <f t="shared" si="40"/>
        <v xml:space="preserve"> </v>
      </c>
      <c r="BB116" s="1" t="str">
        <f t="shared" si="40"/>
        <v xml:space="preserve"> </v>
      </c>
      <c r="BC116" t="s">
        <v>43</v>
      </c>
      <c r="BD116" s="1" t="str">
        <f>AL116&amp;AM116&amp;AN116&amp;AO116&amp;AP116&amp;AQ116&amp;AR116&amp;AS116&amp;AT116&amp;AU116&amp;AV116&amp;AW116&amp;AX116&amp;AY116&amp;AZ116&amp;BA116&amp;BB116&amp;BC116&amp;AL117&amp;AM117&amp;AN117&amp;AO117&amp;AP117&amp;AQ117&amp;AR117&amp;AS117&amp;AT117&amp;AU117&amp;AV117&amp;AW117&amp;AX117&amp;AY117&amp;AZ117&amp;BA117&amp;BB117&amp;BC117&amp;CHAR(10)</f>
        <v xml:space="preserve">{"     OPCOES     ","&lt;VOLT-X3(5/12V)&gt;"},
</v>
      </c>
    </row>
    <row r="117" spans="1:56" x14ac:dyDescent="0.25">
      <c r="A117" s="1" t="s">
        <v>14</v>
      </c>
      <c r="B117" s="1" t="s">
        <v>5</v>
      </c>
      <c r="C117" s="1" t="s">
        <v>19</v>
      </c>
      <c r="D117" s="1" t="s">
        <v>23</v>
      </c>
      <c r="E117" s="1" t="s">
        <v>6</v>
      </c>
      <c r="F117" s="1" t="s">
        <v>10</v>
      </c>
      <c r="G117" s="1" t="s">
        <v>65</v>
      </c>
      <c r="H117" s="1">
        <v>3</v>
      </c>
      <c r="I117" s="1" t="s">
        <v>46</v>
      </c>
      <c r="J117" s="1">
        <v>5</v>
      </c>
      <c r="K117" s="1" t="s">
        <v>48</v>
      </c>
      <c r="L117" s="1">
        <v>1</v>
      </c>
      <c r="M117" s="1">
        <v>2</v>
      </c>
      <c r="N117" s="1" t="s">
        <v>5</v>
      </c>
      <c r="O117" s="1" t="s">
        <v>47</v>
      </c>
      <c r="P117" s="1" t="s">
        <v>15</v>
      </c>
      <c r="AL117" t="s">
        <v>44</v>
      </c>
      <c r="AM117" s="1" t="str">
        <f t="shared" si="40"/>
        <v>&lt;</v>
      </c>
      <c r="AN117" s="1" t="str">
        <f t="shared" si="40"/>
        <v>V</v>
      </c>
      <c r="AO117" s="1" t="str">
        <f t="shared" si="40"/>
        <v>O</v>
      </c>
      <c r="AP117" s="1" t="str">
        <f t="shared" si="40"/>
        <v>L</v>
      </c>
      <c r="AQ117" s="1" t="str">
        <f t="shared" si="40"/>
        <v>T</v>
      </c>
      <c r="AR117" s="1" t="str">
        <f t="shared" si="40"/>
        <v>-</v>
      </c>
      <c r="AS117" s="1" t="str">
        <f t="shared" si="40"/>
        <v>X</v>
      </c>
      <c r="AT117" s="1">
        <f t="shared" si="40"/>
        <v>3</v>
      </c>
      <c r="AU117" s="1" t="str">
        <f t="shared" si="40"/>
        <v>(</v>
      </c>
      <c r="AV117" s="1">
        <f t="shared" si="40"/>
        <v>5</v>
      </c>
      <c r="AW117" s="1" t="str">
        <f t="shared" si="40"/>
        <v>/</v>
      </c>
      <c r="AX117" s="1">
        <f t="shared" si="40"/>
        <v>1</v>
      </c>
      <c r="AY117" s="1">
        <f t="shared" si="40"/>
        <v>2</v>
      </c>
      <c r="AZ117" s="1" t="str">
        <f t="shared" si="40"/>
        <v>V</v>
      </c>
      <c r="BA117" s="1" t="str">
        <f t="shared" si="40"/>
        <v>)</v>
      </c>
      <c r="BB117" s="1" t="str">
        <f t="shared" si="40"/>
        <v>&gt;</v>
      </c>
      <c r="BC117" t="s">
        <v>45</v>
      </c>
    </row>
    <row r="119" spans="1:56" x14ac:dyDescent="0.25">
      <c r="F119" s="1" t="s">
        <v>19</v>
      </c>
      <c r="G119" s="1" t="s">
        <v>11</v>
      </c>
      <c r="H119" s="1" t="s">
        <v>3</v>
      </c>
      <c r="I119" s="1" t="s">
        <v>19</v>
      </c>
      <c r="J119" s="1" t="s">
        <v>8</v>
      </c>
      <c r="K119" s="1" t="s">
        <v>2</v>
      </c>
      <c r="Q119" s="1">
        <v>39</v>
      </c>
      <c r="R119" s="1">
        <v>39</v>
      </c>
      <c r="S119" s="1">
        <v>40</v>
      </c>
      <c r="T119" s="13">
        <v>44</v>
      </c>
      <c r="U119" s="1">
        <v>39</v>
      </c>
      <c r="V119" s="1">
        <v>38</v>
      </c>
      <c r="W119" s="14">
        <v>3</v>
      </c>
      <c r="X119" s="1">
        <v>39</v>
      </c>
      <c r="Y119" s="16">
        <v>2</v>
      </c>
      <c r="Z119" s="1">
        <v>39</v>
      </c>
      <c r="AA119" s="1">
        <v>39</v>
      </c>
      <c r="AB119" s="1">
        <v>39</v>
      </c>
      <c r="AC119" s="1">
        <v>39</v>
      </c>
      <c r="AD119" s="1">
        <v>39</v>
      </c>
      <c r="AE119" s="17">
        <v>0</v>
      </c>
      <c r="AF119" s="1">
        <v>39</v>
      </c>
      <c r="AG119" s="18">
        <v>4</v>
      </c>
      <c r="AH119" t="str">
        <f>"{"&amp;R119&amp;","&amp;S119&amp;","&amp;T119&amp;","&amp;U119&amp;","&amp;V119&amp;","&amp;W119&amp;","&amp;X119&amp;","&amp;Y119&amp;","&amp;Z119&amp;","&amp;AA119&amp;","&amp;AB119&amp;","&amp;AC119&amp;","&amp;AD119&amp;","&amp;AE119&amp;","&amp;AF119&amp;","&amp;AG119&amp;"},"&amp;CHAR(10)</f>
        <v xml:space="preserve">{39,40,44,39,38,3,39,2,39,39,39,39,39,0,39,4},
</v>
      </c>
      <c r="AL119" t="s">
        <v>42</v>
      </c>
      <c r="AM119" s="1" t="str">
        <f t="shared" ref="AM119:BB120" si="41">IF(LEN(A119)=1,A119," ")</f>
        <v xml:space="preserve"> </v>
      </c>
      <c r="AN119" s="1" t="str">
        <f t="shared" si="41"/>
        <v xml:space="preserve"> </v>
      </c>
      <c r="AO119" s="1" t="str">
        <f t="shared" si="41"/>
        <v xml:space="preserve"> </v>
      </c>
      <c r="AP119" s="1" t="str">
        <f t="shared" si="41"/>
        <v xml:space="preserve"> </v>
      </c>
      <c r="AQ119" s="1" t="str">
        <f t="shared" si="41"/>
        <v xml:space="preserve"> </v>
      </c>
      <c r="AR119" s="1" t="str">
        <f t="shared" si="41"/>
        <v>O</v>
      </c>
      <c r="AS119" s="1" t="str">
        <f t="shared" si="41"/>
        <v>P</v>
      </c>
      <c r="AT119" s="1" t="str">
        <f t="shared" si="41"/>
        <v>C</v>
      </c>
      <c r="AU119" s="1" t="str">
        <f t="shared" si="41"/>
        <v>O</v>
      </c>
      <c r="AV119" s="1" t="str">
        <f t="shared" si="41"/>
        <v>E</v>
      </c>
      <c r="AW119" s="1" t="str">
        <f t="shared" si="41"/>
        <v>S</v>
      </c>
      <c r="AX119" s="1" t="str">
        <f t="shared" si="41"/>
        <v xml:space="preserve"> </v>
      </c>
      <c r="AY119" s="1" t="str">
        <f t="shared" si="41"/>
        <v xml:space="preserve"> </v>
      </c>
      <c r="AZ119" s="1" t="str">
        <f t="shared" si="41"/>
        <v xml:space="preserve"> </v>
      </c>
      <c r="BA119" s="1" t="str">
        <f t="shared" si="41"/>
        <v xml:space="preserve"> </v>
      </c>
      <c r="BB119" s="1" t="str">
        <f t="shared" si="41"/>
        <v xml:space="preserve"> </v>
      </c>
      <c r="BC119" t="s">
        <v>43</v>
      </c>
      <c r="BD119" s="1" t="str">
        <f>AL119&amp;AM119&amp;AN119&amp;AO119&amp;AP119&amp;AQ119&amp;AR119&amp;AS119&amp;AT119&amp;AU119&amp;AV119&amp;AW119&amp;AX119&amp;AY119&amp;AZ119&amp;BA119&amp;BB119&amp;BC119&amp;AL120&amp;AM120&amp;AN120&amp;AO120&amp;AP120&amp;AQ120&amp;AR120&amp;AS120&amp;AT120&amp;AU120&amp;AV120&amp;AW120&amp;AX120&amp;AY120&amp;AZ120&amp;BA120&amp;BB120&amp;BC120&amp;CHAR(10)</f>
        <v xml:space="preserve">{"     OPCOES     ","&lt;VOLT-X4(5/12V)&gt;"},
</v>
      </c>
    </row>
    <row r="120" spans="1:56" x14ac:dyDescent="0.25">
      <c r="A120" s="1" t="s">
        <v>14</v>
      </c>
      <c r="B120" s="1" t="s">
        <v>5</v>
      </c>
      <c r="C120" s="1" t="s">
        <v>19</v>
      </c>
      <c r="D120" s="1" t="s">
        <v>23</v>
      </c>
      <c r="E120" s="1" t="s">
        <v>6</v>
      </c>
      <c r="F120" s="1" t="s">
        <v>10</v>
      </c>
      <c r="G120" s="1" t="s">
        <v>65</v>
      </c>
      <c r="H120" s="1">
        <v>4</v>
      </c>
      <c r="I120" s="1" t="s">
        <v>46</v>
      </c>
      <c r="J120" s="1">
        <v>5</v>
      </c>
      <c r="K120" s="1" t="s">
        <v>48</v>
      </c>
      <c r="L120" s="1">
        <v>1</v>
      </c>
      <c r="M120" s="1">
        <v>2</v>
      </c>
      <c r="N120" s="1" t="s">
        <v>5</v>
      </c>
      <c r="O120" s="1" t="s">
        <v>47</v>
      </c>
      <c r="P120" s="1" t="s">
        <v>15</v>
      </c>
      <c r="AL120" t="s">
        <v>44</v>
      </c>
      <c r="AM120" s="1" t="str">
        <f t="shared" si="41"/>
        <v>&lt;</v>
      </c>
      <c r="AN120" s="1" t="str">
        <f t="shared" si="41"/>
        <v>V</v>
      </c>
      <c r="AO120" s="1" t="str">
        <f t="shared" si="41"/>
        <v>O</v>
      </c>
      <c r="AP120" s="1" t="str">
        <f t="shared" si="41"/>
        <v>L</v>
      </c>
      <c r="AQ120" s="1" t="str">
        <f t="shared" si="41"/>
        <v>T</v>
      </c>
      <c r="AR120" s="1" t="str">
        <f t="shared" si="41"/>
        <v>-</v>
      </c>
      <c r="AS120" s="1" t="str">
        <f t="shared" si="41"/>
        <v>X</v>
      </c>
      <c r="AT120" s="1">
        <f t="shared" si="41"/>
        <v>4</v>
      </c>
      <c r="AU120" s="1" t="str">
        <f t="shared" si="41"/>
        <v>(</v>
      </c>
      <c r="AV120" s="1">
        <f t="shared" si="41"/>
        <v>5</v>
      </c>
      <c r="AW120" s="1" t="str">
        <f t="shared" si="41"/>
        <v>/</v>
      </c>
      <c r="AX120" s="1">
        <f t="shared" si="41"/>
        <v>1</v>
      </c>
      <c r="AY120" s="1">
        <f t="shared" si="41"/>
        <v>2</v>
      </c>
      <c r="AZ120" s="1" t="str">
        <f t="shared" si="41"/>
        <v>V</v>
      </c>
      <c r="BA120" s="1" t="str">
        <f t="shared" si="41"/>
        <v>)</v>
      </c>
      <c r="BB120" s="1" t="str">
        <f t="shared" si="41"/>
        <v>&gt;</v>
      </c>
      <c r="BC120" t="s">
        <v>45</v>
      </c>
    </row>
    <row r="122" spans="1:56" x14ac:dyDescent="0.25">
      <c r="F122" s="1" t="s">
        <v>19</v>
      </c>
      <c r="G122" s="1" t="s">
        <v>11</v>
      </c>
      <c r="H122" s="1" t="s">
        <v>3</v>
      </c>
      <c r="I122" s="1" t="s">
        <v>19</v>
      </c>
      <c r="J122" s="1" t="s">
        <v>8</v>
      </c>
      <c r="K122" s="1" t="s">
        <v>2</v>
      </c>
      <c r="Q122" s="1">
        <v>40</v>
      </c>
      <c r="R122" s="1">
        <v>40</v>
      </c>
      <c r="S122" s="1">
        <v>41</v>
      </c>
      <c r="T122" s="13">
        <v>44</v>
      </c>
      <c r="U122" s="1">
        <v>40</v>
      </c>
      <c r="V122" s="1">
        <v>39</v>
      </c>
      <c r="W122" s="14">
        <v>3</v>
      </c>
      <c r="X122" s="1">
        <v>40</v>
      </c>
      <c r="Y122" s="16">
        <v>2</v>
      </c>
      <c r="Z122" s="1">
        <v>40</v>
      </c>
      <c r="AA122" s="1">
        <v>40</v>
      </c>
      <c r="AB122" s="1">
        <v>40</v>
      </c>
      <c r="AC122" s="1">
        <v>40</v>
      </c>
      <c r="AD122" s="1">
        <v>40</v>
      </c>
      <c r="AE122" s="17">
        <v>0</v>
      </c>
      <c r="AF122" s="1">
        <v>40</v>
      </c>
      <c r="AG122" s="18">
        <v>4</v>
      </c>
      <c r="AH122" t="str">
        <f>"{"&amp;R122&amp;","&amp;S122&amp;","&amp;T122&amp;","&amp;U122&amp;","&amp;V122&amp;","&amp;W122&amp;","&amp;X122&amp;","&amp;Y122&amp;","&amp;Z122&amp;","&amp;AA122&amp;","&amp;AB122&amp;","&amp;AC122&amp;","&amp;AD122&amp;","&amp;AE122&amp;","&amp;AF122&amp;","&amp;AG122&amp;"},"&amp;CHAR(10)</f>
        <v xml:space="preserve">{40,41,44,40,39,3,40,2,40,40,40,40,40,0,40,4},
</v>
      </c>
      <c r="AL122" t="s">
        <v>42</v>
      </c>
      <c r="AM122" s="1" t="str">
        <f t="shared" ref="AM122:BB123" si="42">IF(LEN(A122)=1,A122," ")</f>
        <v xml:space="preserve"> </v>
      </c>
      <c r="AN122" s="1" t="str">
        <f t="shared" si="42"/>
        <v xml:space="preserve"> </v>
      </c>
      <c r="AO122" s="1" t="str">
        <f t="shared" si="42"/>
        <v xml:space="preserve"> </v>
      </c>
      <c r="AP122" s="1" t="str">
        <f t="shared" si="42"/>
        <v xml:space="preserve"> </v>
      </c>
      <c r="AQ122" s="1" t="str">
        <f t="shared" si="42"/>
        <v xml:space="preserve"> </v>
      </c>
      <c r="AR122" s="1" t="str">
        <f t="shared" si="42"/>
        <v>O</v>
      </c>
      <c r="AS122" s="1" t="str">
        <f t="shared" si="42"/>
        <v>P</v>
      </c>
      <c r="AT122" s="1" t="str">
        <f t="shared" si="42"/>
        <v>C</v>
      </c>
      <c r="AU122" s="1" t="str">
        <f t="shared" si="42"/>
        <v>O</v>
      </c>
      <c r="AV122" s="1" t="str">
        <f t="shared" si="42"/>
        <v>E</v>
      </c>
      <c r="AW122" s="1" t="str">
        <f t="shared" si="42"/>
        <v>S</v>
      </c>
      <c r="AX122" s="1" t="str">
        <f t="shared" si="42"/>
        <v xml:space="preserve"> </v>
      </c>
      <c r="AY122" s="1" t="str">
        <f t="shared" si="42"/>
        <v xml:space="preserve"> </v>
      </c>
      <c r="AZ122" s="1" t="str">
        <f t="shared" si="42"/>
        <v xml:space="preserve"> </v>
      </c>
      <c r="BA122" s="1" t="str">
        <f t="shared" si="42"/>
        <v xml:space="preserve"> </v>
      </c>
      <c r="BB122" s="1" t="str">
        <f t="shared" si="42"/>
        <v xml:space="preserve"> </v>
      </c>
      <c r="BC122" t="s">
        <v>43</v>
      </c>
      <c r="BD122" s="1" t="str">
        <f>AL122&amp;AM122&amp;AN122&amp;AO122&amp;AP122&amp;AQ122&amp;AR122&amp;AS122&amp;AT122&amp;AU122&amp;AV122&amp;AW122&amp;AX122&amp;AY122&amp;AZ122&amp;BA122&amp;BB122&amp;BC122&amp;AL123&amp;AM123&amp;AN123&amp;AO123&amp;AP123&amp;AQ123&amp;AR123&amp;AS123&amp;AT123&amp;AU123&amp;AV123&amp;AW123&amp;AX123&amp;AY123&amp;AZ123&amp;BA123&amp;BB123&amp;BC123&amp;CHAR(10)</f>
        <v xml:space="preserve">{"     OPCOES     ","&lt;VOLT-X5(5/12V)&gt;"},
</v>
      </c>
    </row>
    <row r="123" spans="1:56" x14ac:dyDescent="0.25">
      <c r="A123" s="1" t="s">
        <v>14</v>
      </c>
      <c r="B123" s="1" t="s">
        <v>5</v>
      </c>
      <c r="C123" s="1" t="s">
        <v>19</v>
      </c>
      <c r="D123" s="1" t="s">
        <v>23</v>
      </c>
      <c r="E123" s="1" t="s">
        <v>6</v>
      </c>
      <c r="F123" s="1" t="s">
        <v>10</v>
      </c>
      <c r="G123" s="1" t="s">
        <v>65</v>
      </c>
      <c r="H123" s="1">
        <v>5</v>
      </c>
      <c r="I123" s="1" t="s">
        <v>46</v>
      </c>
      <c r="J123" s="1">
        <v>5</v>
      </c>
      <c r="K123" s="1" t="s">
        <v>48</v>
      </c>
      <c r="L123" s="1">
        <v>1</v>
      </c>
      <c r="M123" s="1">
        <v>2</v>
      </c>
      <c r="N123" s="1" t="s">
        <v>5</v>
      </c>
      <c r="O123" s="1" t="s">
        <v>47</v>
      </c>
      <c r="P123" s="1" t="s">
        <v>15</v>
      </c>
      <c r="AL123" t="s">
        <v>44</v>
      </c>
      <c r="AM123" s="1" t="str">
        <f t="shared" si="42"/>
        <v>&lt;</v>
      </c>
      <c r="AN123" s="1" t="str">
        <f t="shared" si="42"/>
        <v>V</v>
      </c>
      <c r="AO123" s="1" t="str">
        <f t="shared" si="42"/>
        <v>O</v>
      </c>
      <c r="AP123" s="1" t="str">
        <f t="shared" si="42"/>
        <v>L</v>
      </c>
      <c r="AQ123" s="1" t="str">
        <f t="shared" si="42"/>
        <v>T</v>
      </c>
      <c r="AR123" s="1" t="str">
        <f t="shared" si="42"/>
        <v>-</v>
      </c>
      <c r="AS123" s="1" t="str">
        <f t="shared" si="42"/>
        <v>X</v>
      </c>
      <c r="AT123" s="1">
        <f t="shared" si="42"/>
        <v>5</v>
      </c>
      <c r="AU123" s="1" t="str">
        <f t="shared" si="42"/>
        <v>(</v>
      </c>
      <c r="AV123" s="1">
        <f t="shared" si="42"/>
        <v>5</v>
      </c>
      <c r="AW123" s="1" t="str">
        <f t="shared" si="42"/>
        <v>/</v>
      </c>
      <c r="AX123" s="1">
        <f t="shared" si="42"/>
        <v>1</v>
      </c>
      <c r="AY123" s="1">
        <f t="shared" si="42"/>
        <v>2</v>
      </c>
      <c r="AZ123" s="1" t="str">
        <f t="shared" si="42"/>
        <v>V</v>
      </c>
      <c r="BA123" s="1" t="str">
        <f t="shared" si="42"/>
        <v>)</v>
      </c>
      <c r="BB123" s="1" t="str">
        <f t="shared" si="42"/>
        <v>&gt;</v>
      </c>
      <c r="BC123" t="s">
        <v>45</v>
      </c>
    </row>
    <row r="125" spans="1:56" x14ac:dyDescent="0.25">
      <c r="F125" s="1" t="s">
        <v>19</v>
      </c>
      <c r="G125" s="1" t="s">
        <v>11</v>
      </c>
      <c r="H125" s="1" t="s">
        <v>3</v>
      </c>
      <c r="I125" s="1" t="s">
        <v>19</v>
      </c>
      <c r="J125" s="1" t="s">
        <v>8</v>
      </c>
      <c r="K125" s="1" t="s">
        <v>2</v>
      </c>
      <c r="Q125" s="1">
        <v>41</v>
      </c>
      <c r="R125" s="1">
        <v>41</v>
      </c>
      <c r="S125" s="1">
        <v>42</v>
      </c>
      <c r="T125" s="13">
        <v>44</v>
      </c>
      <c r="U125" s="1">
        <v>41</v>
      </c>
      <c r="V125" s="1">
        <v>40</v>
      </c>
      <c r="W125" s="14">
        <v>3</v>
      </c>
      <c r="X125" s="1">
        <v>41</v>
      </c>
      <c r="Y125" s="16">
        <v>2</v>
      </c>
      <c r="Z125" s="1">
        <v>41</v>
      </c>
      <c r="AA125" s="1">
        <v>41</v>
      </c>
      <c r="AB125" s="1">
        <v>41</v>
      </c>
      <c r="AC125" s="1">
        <v>41</v>
      </c>
      <c r="AD125" s="1">
        <v>41</v>
      </c>
      <c r="AE125" s="17">
        <v>0</v>
      </c>
      <c r="AF125" s="1">
        <v>41</v>
      </c>
      <c r="AG125" s="18">
        <v>4</v>
      </c>
      <c r="AH125" t="str">
        <f>"{"&amp;R125&amp;","&amp;S125&amp;","&amp;T125&amp;","&amp;U125&amp;","&amp;V125&amp;","&amp;W125&amp;","&amp;X125&amp;","&amp;Y125&amp;","&amp;Z125&amp;","&amp;AA125&amp;","&amp;AB125&amp;","&amp;AC125&amp;","&amp;AD125&amp;","&amp;AE125&amp;","&amp;AF125&amp;","&amp;AG125&amp;"},"&amp;CHAR(10)</f>
        <v xml:space="preserve">{41,42,44,41,40,3,41,2,41,41,41,41,41,0,41,4},
</v>
      </c>
      <c r="AL125" t="s">
        <v>42</v>
      </c>
      <c r="AM125" s="1" t="str">
        <f t="shared" ref="AM125:BB126" si="43">IF(LEN(A125)=1,A125," ")</f>
        <v xml:space="preserve"> </v>
      </c>
      <c r="AN125" s="1" t="str">
        <f t="shared" si="43"/>
        <v xml:space="preserve"> </v>
      </c>
      <c r="AO125" s="1" t="str">
        <f t="shared" si="43"/>
        <v xml:space="preserve"> </v>
      </c>
      <c r="AP125" s="1" t="str">
        <f t="shared" si="43"/>
        <v xml:space="preserve"> </v>
      </c>
      <c r="AQ125" s="1" t="str">
        <f t="shared" si="43"/>
        <v xml:space="preserve"> </v>
      </c>
      <c r="AR125" s="1" t="str">
        <f t="shared" si="43"/>
        <v>O</v>
      </c>
      <c r="AS125" s="1" t="str">
        <f t="shared" si="43"/>
        <v>P</v>
      </c>
      <c r="AT125" s="1" t="str">
        <f t="shared" si="43"/>
        <v>C</v>
      </c>
      <c r="AU125" s="1" t="str">
        <f t="shared" si="43"/>
        <v>O</v>
      </c>
      <c r="AV125" s="1" t="str">
        <f t="shared" si="43"/>
        <v>E</v>
      </c>
      <c r="AW125" s="1" t="str">
        <f t="shared" si="43"/>
        <v>S</v>
      </c>
      <c r="AX125" s="1" t="str">
        <f t="shared" si="43"/>
        <v xml:space="preserve"> </v>
      </c>
      <c r="AY125" s="1" t="str">
        <f t="shared" si="43"/>
        <v xml:space="preserve"> </v>
      </c>
      <c r="AZ125" s="1" t="str">
        <f t="shared" si="43"/>
        <v xml:space="preserve"> </v>
      </c>
      <c r="BA125" s="1" t="str">
        <f t="shared" si="43"/>
        <v xml:space="preserve"> </v>
      </c>
      <c r="BB125" s="1" t="str">
        <f t="shared" si="43"/>
        <v xml:space="preserve"> </v>
      </c>
      <c r="BC125" t="s">
        <v>43</v>
      </c>
      <c r="BD125" s="1" t="str">
        <f>AL125&amp;AM125&amp;AN125&amp;AO125&amp;AP125&amp;AQ125&amp;AR125&amp;AS125&amp;AT125&amp;AU125&amp;AV125&amp;AW125&amp;AX125&amp;AY125&amp;AZ125&amp;BA125&amp;BB125&amp;BC125&amp;AL126&amp;AM126&amp;AN126&amp;AO126&amp;AP126&amp;AQ126&amp;AR126&amp;AS126&amp;AT126&amp;AU126&amp;AV126&amp;AW126&amp;AX126&amp;AY126&amp;AZ126&amp;BA126&amp;BB126&amp;BC126&amp;CHAR(10)</f>
        <v xml:space="preserve">{"     OPCOES     ","&lt;VOLT-X6(5/12V)&gt;"},
</v>
      </c>
    </row>
    <row r="126" spans="1:56" x14ac:dyDescent="0.25">
      <c r="A126" s="1" t="s">
        <v>14</v>
      </c>
      <c r="B126" s="1" t="s">
        <v>5</v>
      </c>
      <c r="C126" s="1" t="s">
        <v>19</v>
      </c>
      <c r="D126" s="1" t="s">
        <v>23</v>
      </c>
      <c r="E126" s="1" t="s">
        <v>6</v>
      </c>
      <c r="F126" s="1" t="s">
        <v>10</v>
      </c>
      <c r="G126" s="1" t="s">
        <v>65</v>
      </c>
      <c r="H126" s="1">
        <v>6</v>
      </c>
      <c r="I126" s="1" t="s">
        <v>46</v>
      </c>
      <c r="J126" s="1">
        <v>5</v>
      </c>
      <c r="K126" s="1" t="s">
        <v>48</v>
      </c>
      <c r="L126" s="1">
        <v>1</v>
      </c>
      <c r="M126" s="1">
        <v>2</v>
      </c>
      <c r="N126" s="1" t="s">
        <v>5</v>
      </c>
      <c r="O126" s="1" t="s">
        <v>47</v>
      </c>
      <c r="P126" s="1" t="s">
        <v>15</v>
      </c>
      <c r="AL126" t="s">
        <v>44</v>
      </c>
      <c r="AM126" s="1" t="str">
        <f t="shared" si="43"/>
        <v>&lt;</v>
      </c>
      <c r="AN126" s="1" t="str">
        <f t="shared" si="43"/>
        <v>V</v>
      </c>
      <c r="AO126" s="1" t="str">
        <f t="shared" si="43"/>
        <v>O</v>
      </c>
      <c r="AP126" s="1" t="str">
        <f t="shared" si="43"/>
        <v>L</v>
      </c>
      <c r="AQ126" s="1" t="str">
        <f t="shared" si="43"/>
        <v>T</v>
      </c>
      <c r="AR126" s="1" t="str">
        <f t="shared" si="43"/>
        <v>-</v>
      </c>
      <c r="AS126" s="1" t="str">
        <f t="shared" si="43"/>
        <v>X</v>
      </c>
      <c r="AT126" s="1">
        <f t="shared" si="43"/>
        <v>6</v>
      </c>
      <c r="AU126" s="1" t="str">
        <f t="shared" si="43"/>
        <v>(</v>
      </c>
      <c r="AV126" s="1">
        <f t="shared" si="43"/>
        <v>5</v>
      </c>
      <c r="AW126" s="1" t="str">
        <f t="shared" si="43"/>
        <v>/</v>
      </c>
      <c r="AX126" s="1">
        <f t="shared" si="43"/>
        <v>1</v>
      </c>
      <c r="AY126" s="1">
        <f t="shared" si="43"/>
        <v>2</v>
      </c>
      <c r="AZ126" s="1" t="str">
        <f t="shared" si="43"/>
        <v>V</v>
      </c>
      <c r="BA126" s="1" t="str">
        <f t="shared" si="43"/>
        <v>)</v>
      </c>
      <c r="BB126" s="1" t="str">
        <f t="shared" si="43"/>
        <v>&gt;</v>
      </c>
      <c r="BC126" t="s">
        <v>45</v>
      </c>
    </row>
    <row r="128" spans="1:56" x14ac:dyDescent="0.25">
      <c r="F128" s="1" t="s">
        <v>19</v>
      </c>
      <c r="G128" s="1" t="s">
        <v>11</v>
      </c>
      <c r="H128" s="1" t="s">
        <v>3</v>
      </c>
      <c r="I128" s="1" t="s">
        <v>19</v>
      </c>
      <c r="J128" s="1" t="s">
        <v>8</v>
      </c>
      <c r="K128" s="1" t="s">
        <v>2</v>
      </c>
      <c r="Q128" s="1">
        <v>42</v>
      </c>
      <c r="R128" s="1">
        <v>42</v>
      </c>
      <c r="S128" s="1">
        <v>29</v>
      </c>
      <c r="T128" s="13">
        <v>44</v>
      </c>
      <c r="U128" s="1">
        <v>42</v>
      </c>
      <c r="V128" s="1">
        <v>41</v>
      </c>
      <c r="W128" s="14">
        <v>3</v>
      </c>
      <c r="X128" s="1">
        <v>42</v>
      </c>
      <c r="Y128" s="16">
        <v>2</v>
      </c>
      <c r="Z128" s="1">
        <v>42</v>
      </c>
      <c r="AA128" s="1">
        <v>42</v>
      </c>
      <c r="AB128" s="1">
        <v>42</v>
      </c>
      <c r="AC128" s="1">
        <v>42</v>
      </c>
      <c r="AD128" s="1">
        <v>42</v>
      </c>
      <c r="AE128" s="17">
        <v>0</v>
      </c>
      <c r="AF128" s="1">
        <v>42</v>
      </c>
      <c r="AG128" s="18">
        <v>4</v>
      </c>
      <c r="AH128" t="str">
        <f>"{"&amp;R128&amp;","&amp;S128&amp;","&amp;T128&amp;","&amp;U128&amp;","&amp;V128&amp;","&amp;W128&amp;","&amp;X128&amp;","&amp;Y128&amp;","&amp;Z128&amp;","&amp;AA128&amp;","&amp;AB128&amp;","&amp;AC128&amp;","&amp;AD128&amp;","&amp;AE128&amp;","&amp;AF128&amp;","&amp;AG128&amp;"},"&amp;CHAR(10)</f>
        <v xml:space="preserve">{42,29,44,42,41,3,42,2,42,42,42,42,42,0,42,4},
</v>
      </c>
      <c r="AL128" t="s">
        <v>42</v>
      </c>
      <c r="AM128" s="1" t="str">
        <f t="shared" ref="AM128:BB129" si="44">IF(LEN(A128)=1,A128," ")</f>
        <v xml:space="preserve"> </v>
      </c>
      <c r="AN128" s="1" t="str">
        <f t="shared" si="44"/>
        <v xml:space="preserve"> </v>
      </c>
      <c r="AO128" s="1" t="str">
        <f t="shared" si="44"/>
        <v xml:space="preserve"> </v>
      </c>
      <c r="AP128" s="1" t="str">
        <f t="shared" si="44"/>
        <v xml:space="preserve"> </v>
      </c>
      <c r="AQ128" s="1" t="str">
        <f t="shared" si="44"/>
        <v xml:space="preserve"> </v>
      </c>
      <c r="AR128" s="1" t="str">
        <f t="shared" si="44"/>
        <v>O</v>
      </c>
      <c r="AS128" s="1" t="str">
        <f t="shared" si="44"/>
        <v>P</v>
      </c>
      <c r="AT128" s="1" t="str">
        <f t="shared" si="44"/>
        <v>C</v>
      </c>
      <c r="AU128" s="1" t="str">
        <f t="shared" si="44"/>
        <v>O</v>
      </c>
      <c r="AV128" s="1" t="str">
        <f t="shared" si="44"/>
        <v>E</v>
      </c>
      <c r="AW128" s="1" t="str">
        <f t="shared" si="44"/>
        <v>S</v>
      </c>
      <c r="AX128" s="1" t="str">
        <f t="shared" si="44"/>
        <v xml:space="preserve"> </v>
      </c>
      <c r="AY128" s="1" t="str">
        <f t="shared" si="44"/>
        <v xml:space="preserve"> </v>
      </c>
      <c r="AZ128" s="1" t="str">
        <f t="shared" si="44"/>
        <v xml:space="preserve"> </v>
      </c>
      <c r="BA128" s="1" t="str">
        <f t="shared" si="44"/>
        <v xml:space="preserve"> </v>
      </c>
      <c r="BB128" s="1" t="str">
        <f t="shared" si="44"/>
        <v xml:space="preserve"> </v>
      </c>
      <c r="BC128" t="s">
        <v>43</v>
      </c>
      <c r="BD128" s="1" t="str">
        <f>AL128&amp;AM128&amp;AN128&amp;AO128&amp;AP128&amp;AQ128&amp;AR128&amp;AS128&amp;AT128&amp;AU128&amp;AV128&amp;AW128&amp;AX128&amp;AY128&amp;AZ128&amp;BA128&amp;BB128&amp;BC128&amp;AL129&amp;AM129&amp;AN129&amp;AO129&amp;AP129&amp;AQ129&amp;AR129&amp;AS129&amp;AT129&amp;AU129&amp;AV129&amp;AW129&amp;AX129&amp;AY129&amp;AZ129&amp;BA129&amp;BB129&amp;BC129&amp;CHAR(10)</f>
        <v xml:space="preserve">{"     OPCOES     ","&lt;VOLT-X7(5/12V)&gt;"},
</v>
      </c>
    </row>
    <row r="129" spans="1:56" x14ac:dyDescent="0.25">
      <c r="A129" s="1" t="s">
        <v>14</v>
      </c>
      <c r="B129" s="1" t="s">
        <v>5</v>
      </c>
      <c r="C129" s="1" t="s">
        <v>19</v>
      </c>
      <c r="D129" s="1" t="s">
        <v>23</v>
      </c>
      <c r="E129" s="1" t="s">
        <v>6</v>
      </c>
      <c r="F129" s="1" t="s">
        <v>10</v>
      </c>
      <c r="G129" s="1" t="s">
        <v>65</v>
      </c>
      <c r="H129" s="1">
        <v>7</v>
      </c>
      <c r="I129" s="1" t="s">
        <v>46</v>
      </c>
      <c r="J129" s="1">
        <v>5</v>
      </c>
      <c r="K129" s="1" t="s">
        <v>48</v>
      </c>
      <c r="L129" s="1">
        <v>1</v>
      </c>
      <c r="M129" s="1">
        <v>2</v>
      </c>
      <c r="N129" s="1" t="s">
        <v>5</v>
      </c>
      <c r="O129" s="1" t="s">
        <v>47</v>
      </c>
      <c r="P129" s="1" t="s">
        <v>15</v>
      </c>
      <c r="AL129" t="s">
        <v>44</v>
      </c>
      <c r="AM129" s="1" t="str">
        <f t="shared" si="44"/>
        <v>&lt;</v>
      </c>
      <c r="AN129" s="1" t="str">
        <f t="shared" si="44"/>
        <v>V</v>
      </c>
      <c r="AO129" s="1" t="str">
        <f t="shared" si="44"/>
        <v>O</v>
      </c>
      <c r="AP129" s="1" t="str">
        <f t="shared" si="44"/>
        <v>L</v>
      </c>
      <c r="AQ129" s="1" t="str">
        <f t="shared" si="44"/>
        <v>T</v>
      </c>
      <c r="AR129" s="1" t="str">
        <f t="shared" si="44"/>
        <v>-</v>
      </c>
      <c r="AS129" s="1" t="str">
        <f t="shared" si="44"/>
        <v>X</v>
      </c>
      <c r="AT129" s="1">
        <f t="shared" si="44"/>
        <v>7</v>
      </c>
      <c r="AU129" s="1" t="str">
        <f t="shared" si="44"/>
        <v>(</v>
      </c>
      <c r="AV129" s="1">
        <f t="shared" si="44"/>
        <v>5</v>
      </c>
      <c r="AW129" s="1" t="str">
        <f t="shared" si="44"/>
        <v>/</v>
      </c>
      <c r="AX129" s="1">
        <f t="shared" si="44"/>
        <v>1</v>
      </c>
      <c r="AY129" s="1">
        <f t="shared" si="44"/>
        <v>2</v>
      </c>
      <c r="AZ129" s="1" t="str">
        <f t="shared" si="44"/>
        <v>V</v>
      </c>
      <c r="BA129" s="1" t="str">
        <f t="shared" si="44"/>
        <v>)</v>
      </c>
      <c r="BB129" s="1" t="str">
        <f t="shared" si="44"/>
        <v>&gt;</v>
      </c>
      <c r="BC129" t="s">
        <v>45</v>
      </c>
    </row>
    <row r="131" spans="1:56" x14ac:dyDescent="0.25">
      <c r="C131" s="1" t="s">
        <v>23</v>
      </c>
      <c r="D131" s="1" t="s">
        <v>19</v>
      </c>
      <c r="E131" s="1" t="s">
        <v>19</v>
      </c>
      <c r="F131" s="1" t="s">
        <v>11</v>
      </c>
      <c r="G131" s="1" t="s">
        <v>10</v>
      </c>
      <c r="H131" s="1" t="s">
        <v>2</v>
      </c>
      <c r="I131" s="1" t="s">
        <v>49</v>
      </c>
      <c r="J131" s="1" t="s">
        <v>46</v>
      </c>
      <c r="K131" s="1" t="s">
        <v>12</v>
      </c>
      <c r="L131" s="1" t="s">
        <v>48</v>
      </c>
      <c r="M131" s="1" t="s">
        <v>11</v>
      </c>
      <c r="N131" s="1" t="s">
        <v>47</v>
      </c>
      <c r="Q131" s="1">
        <v>43</v>
      </c>
      <c r="R131" s="1">
        <v>43</v>
      </c>
      <c r="S131" s="1">
        <v>43</v>
      </c>
      <c r="T131" s="13">
        <v>28</v>
      </c>
      <c r="U131" s="1">
        <v>43</v>
      </c>
      <c r="V131" s="1">
        <v>43</v>
      </c>
      <c r="W131" s="14">
        <v>3</v>
      </c>
      <c r="X131" s="1">
        <v>43</v>
      </c>
      <c r="Y131" s="16">
        <v>2</v>
      </c>
      <c r="Z131" s="1">
        <v>43</v>
      </c>
      <c r="AA131" s="1">
        <v>43</v>
      </c>
      <c r="AB131" s="1">
        <v>43</v>
      </c>
      <c r="AC131" s="1">
        <v>43</v>
      </c>
      <c r="AD131" s="1">
        <v>43</v>
      </c>
      <c r="AE131" s="17">
        <v>0</v>
      </c>
      <c r="AF131" s="1">
        <v>43</v>
      </c>
      <c r="AG131" s="18">
        <v>4</v>
      </c>
      <c r="AH131" t="str">
        <f>"{"&amp;R131&amp;","&amp;S131&amp;","&amp;T131&amp;","&amp;U131&amp;","&amp;V131&amp;","&amp;W131&amp;","&amp;X131&amp;","&amp;Y131&amp;","&amp;Z131&amp;","&amp;AA131&amp;","&amp;AB131&amp;","&amp;AC131&amp;","&amp;AD131&amp;","&amp;AE131&amp;","&amp;AF131&amp;","&amp;AG131&amp;"},"&amp;CHAR(10)</f>
        <v xml:space="preserve">{43,43,28,43,43,3,43,2,43,43,43,43,43,0,43,4},
</v>
      </c>
      <c r="AL131" t="s">
        <v>42</v>
      </c>
      <c r="AM131" s="1" t="str">
        <f t="shared" ref="AM131:BB132" si="45">IF(LEN(A131)=1,A131," ")</f>
        <v xml:space="preserve"> </v>
      </c>
      <c r="AN131" s="1" t="str">
        <f t="shared" si="45"/>
        <v xml:space="preserve"> </v>
      </c>
      <c r="AO131" s="1" t="str">
        <f t="shared" si="45"/>
        <v>L</v>
      </c>
      <c r="AP131" s="1" t="str">
        <f t="shared" si="45"/>
        <v>O</v>
      </c>
      <c r="AQ131" s="1" t="str">
        <f t="shared" si="45"/>
        <v>O</v>
      </c>
      <c r="AR131" s="1" t="str">
        <f t="shared" si="45"/>
        <v>P</v>
      </c>
      <c r="AS131" s="1" t="str">
        <f t="shared" si="45"/>
        <v>-</v>
      </c>
      <c r="AT131" s="1" t="str">
        <f t="shared" si="45"/>
        <v>S</v>
      </c>
      <c r="AU131" s="1" t="str">
        <f t="shared" si="45"/>
        <v xml:space="preserve"> </v>
      </c>
      <c r="AV131" s="1" t="str">
        <f t="shared" si="45"/>
        <v>(</v>
      </c>
      <c r="AW131" s="1" t="str">
        <f t="shared" si="45"/>
        <v>A</v>
      </c>
      <c r="AX131" s="1" t="str">
        <f t="shared" si="45"/>
        <v>/</v>
      </c>
      <c r="AY131" s="1" t="str">
        <f t="shared" si="45"/>
        <v>P</v>
      </c>
      <c r="AZ131" s="1" t="str">
        <f t="shared" si="45"/>
        <v>)</v>
      </c>
      <c r="BA131" s="1" t="str">
        <f t="shared" si="45"/>
        <v xml:space="preserve"> </v>
      </c>
      <c r="BB131" s="1" t="str">
        <f t="shared" si="45"/>
        <v xml:space="preserve"> </v>
      </c>
      <c r="BC131" t="s">
        <v>43</v>
      </c>
      <c r="BD131" s="1" t="str">
        <f>AL131&amp;AM131&amp;AN131&amp;AO131&amp;AP131&amp;AQ131&amp;AR131&amp;AS131&amp;AT131&amp;AU131&amp;AV131&amp;AW131&amp;AX131&amp;AY131&amp;AZ131&amp;BA131&amp;BB131&amp;BC131&amp;AL132&amp;AM132&amp;AN132&amp;AO132&amp;AP132&amp;AQ132&amp;AR132&amp;AS132&amp;AT132&amp;AU132&amp;AV132&amp;AW132&amp;AX132&amp;AY132&amp;AZ132&amp;BA132&amp;BB132&amp;BC132&amp;CHAR(10)</f>
        <v xml:space="preserve">{"  LOOP-S (A/P)  ","  ATIVO   PASS  "},
</v>
      </c>
    </row>
    <row r="132" spans="1:56" x14ac:dyDescent="0.25">
      <c r="C132" s="1" t="s">
        <v>12</v>
      </c>
      <c r="D132" s="1" t="s">
        <v>6</v>
      </c>
      <c r="E132" s="1" t="s">
        <v>17</v>
      </c>
      <c r="F132" s="1" t="s">
        <v>5</v>
      </c>
      <c r="G132" s="1" t="s">
        <v>19</v>
      </c>
      <c r="K132" s="1" t="s">
        <v>11</v>
      </c>
      <c r="L132" s="1" t="s">
        <v>12</v>
      </c>
      <c r="M132" s="1" t="s">
        <v>2</v>
      </c>
      <c r="N132" s="1" t="s">
        <v>2</v>
      </c>
      <c r="AL132" t="s">
        <v>44</v>
      </c>
      <c r="AM132" s="1" t="str">
        <f t="shared" si="45"/>
        <v xml:space="preserve"> </v>
      </c>
      <c r="AN132" s="1" t="str">
        <f t="shared" si="45"/>
        <v xml:space="preserve"> </v>
      </c>
      <c r="AO132" s="1" t="str">
        <f t="shared" si="45"/>
        <v>A</v>
      </c>
      <c r="AP132" s="1" t="str">
        <f t="shared" si="45"/>
        <v>T</v>
      </c>
      <c r="AQ132" s="1" t="str">
        <f t="shared" si="45"/>
        <v>I</v>
      </c>
      <c r="AR132" s="1" t="str">
        <f t="shared" si="45"/>
        <v>V</v>
      </c>
      <c r="AS132" s="1" t="str">
        <f t="shared" si="45"/>
        <v>O</v>
      </c>
      <c r="AT132" s="1" t="str">
        <f t="shared" si="45"/>
        <v xml:space="preserve"> </v>
      </c>
      <c r="AU132" s="1" t="str">
        <f t="shared" si="45"/>
        <v xml:space="preserve"> </v>
      </c>
      <c r="AV132" s="1" t="str">
        <f t="shared" si="45"/>
        <v xml:space="preserve"> </v>
      </c>
      <c r="AW132" s="1" t="str">
        <f t="shared" si="45"/>
        <v>P</v>
      </c>
      <c r="AX132" s="1" t="str">
        <f t="shared" si="45"/>
        <v>A</v>
      </c>
      <c r="AY132" s="1" t="str">
        <f t="shared" si="45"/>
        <v>S</v>
      </c>
      <c r="AZ132" s="1" t="str">
        <f t="shared" si="45"/>
        <v>S</v>
      </c>
      <c r="BA132" s="1" t="str">
        <f t="shared" si="45"/>
        <v xml:space="preserve"> </v>
      </c>
      <c r="BB132" s="1" t="str">
        <f t="shared" si="45"/>
        <v xml:space="preserve"> </v>
      </c>
      <c r="BC132" t="s">
        <v>45</v>
      </c>
    </row>
    <row r="134" spans="1:56" x14ac:dyDescent="0.25">
      <c r="B134" s="1" t="s">
        <v>5</v>
      </c>
      <c r="C134" s="1" t="s">
        <v>19</v>
      </c>
      <c r="D134" s="1" t="s">
        <v>23</v>
      </c>
      <c r="E134" s="1" t="s">
        <v>6</v>
      </c>
      <c r="F134" s="1" t="s">
        <v>10</v>
      </c>
      <c r="G134" s="1" t="s">
        <v>65</v>
      </c>
      <c r="H134" s="1" t="s">
        <v>49</v>
      </c>
      <c r="I134" s="1" t="s">
        <v>46</v>
      </c>
      <c r="J134" s="1">
        <v>5</v>
      </c>
      <c r="K134" s="1" t="s">
        <v>48</v>
      </c>
      <c r="L134" s="1">
        <v>1</v>
      </c>
      <c r="M134" s="1">
        <v>2</v>
      </c>
      <c r="N134" s="1" t="s">
        <v>5</v>
      </c>
      <c r="O134" s="1" t="s">
        <v>47</v>
      </c>
      <c r="Q134" s="1">
        <v>44</v>
      </c>
      <c r="R134" s="1">
        <v>44</v>
      </c>
      <c r="S134" s="1">
        <v>44</v>
      </c>
      <c r="T134" s="13">
        <v>28</v>
      </c>
      <c r="U134" s="1">
        <v>44</v>
      </c>
      <c r="V134" s="1">
        <v>44</v>
      </c>
      <c r="W134" s="14">
        <v>3</v>
      </c>
      <c r="X134" s="1">
        <v>44</v>
      </c>
      <c r="Y134" s="16">
        <v>2</v>
      </c>
      <c r="Z134" s="1">
        <v>44</v>
      </c>
      <c r="AA134" s="1">
        <v>44</v>
      </c>
      <c r="AB134" s="1">
        <v>44</v>
      </c>
      <c r="AC134" s="1">
        <v>44</v>
      </c>
      <c r="AD134" s="1">
        <v>44</v>
      </c>
      <c r="AE134" s="17">
        <v>0</v>
      </c>
      <c r="AF134" s="1">
        <v>44</v>
      </c>
      <c r="AG134" s="18">
        <v>4</v>
      </c>
      <c r="AH134" t="str">
        <f>"{"&amp;R134&amp;","&amp;S134&amp;","&amp;T134&amp;","&amp;U134&amp;","&amp;V134&amp;","&amp;W134&amp;","&amp;X134&amp;","&amp;Y134&amp;","&amp;Z134&amp;","&amp;AA134&amp;","&amp;AB134&amp;","&amp;AC134&amp;","&amp;AD134&amp;","&amp;AE134&amp;","&amp;AF134&amp;","&amp;AG134&amp;"},"&amp;CHAR(10)</f>
        <v xml:space="preserve">{44,44,28,44,44,3,44,2,44,44,44,44,44,0,44,4},
</v>
      </c>
      <c r="AL134" t="s">
        <v>42</v>
      </c>
      <c r="AM134" s="1" t="str">
        <f t="shared" ref="AM134:BB135" si="46">IF(LEN(A134)=1,A134," ")</f>
        <v xml:space="preserve"> </v>
      </c>
      <c r="AN134" s="1" t="str">
        <f t="shared" si="46"/>
        <v>V</v>
      </c>
      <c r="AO134" s="1" t="str">
        <f t="shared" si="46"/>
        <v>O</v>
      </c>
      <c r="AP134" s="1" t="str">
        <f t="shared" si="46"/>
        <v>L</v>
      </c>
      <c r="AQ134" s="1" t="str">
        <f t="shared" si="46"/>
        <v>T</v>
      </c>
      <c r="AR134" s="1" t="str">
        <f t="shared" si="46"/>
        <v>-</v>
      </c>
      <c r="AS134" s="1" t="str">
        <f t="shared" si="46"/>
        <v>X</v>
      </c>
      <c r="AT134" s="1" t="str">
        <f t="shared" si="46"/>
        <v xml:space="preserve"> </v>
      </c>
      <c r="AU134" s="1" t="str">
        <f t="shared" si="46"/>
        <v>(</v>
      </c>
      <c r="AV134" s="1">
        <f t="shared" si="46"/>
        <v>5</v>
      </c>
      <c r="AW134" s="1" t="str">
        <f t="shared" si="46"/>
        <v>/</v>
      </c>
      <c r="AX134" s="1">
        <f t="shared" si="46"/>
        <v>1</v>
      </c>
      <c r="AY134" s="1">
        <f t="shared" si="46"/>
        <v>2</v>
      </c>
      <c r="AZ134" s="1" t="str">
        <f t="shared" si="46"/>
        <v>V</v>
      </c>
      <c r="BA134" s="1" t="str">
        <f t="shared" si="46"/>
        <v>)</v>
      </c>
      <c r="BB134" s="1" t="str">
        <f t="shared" si="46"/>
        <v xml:space="preserve"> </v>
      </c>
      <c r="BC134" t="s">
        <v>43</v>
      </c>
      <c r="BD134" s="1" t="str">
        <f>AL134&amp;AM134&amp;AN134&amp;AO134&amp;AP134&amp;AQ134&amp;AR134&amp;AS134&amp;AT134&amp;AU134&amp;AV134&amp;AW134&amp;AX134&amp;AY134&amp;AZ134&amp;BA134&amp;BB134&amp;BC134&amp;AL135&amp;AM135&amp;AN135&amp;AO135&amp;AP135&amp;AQ135&amp;AR135&amp;AS135&amp;AT135&amp;AU135&amp;AV135&amp;AW135&amp;AX135&amp;AY135&amp;AZ135&amp;BA135&amp;BB135&amp;BC135&amp;CHAR(10)</f>
        <v xml:space="preserve">{" VOLT-X (5/12V) ","  5V      12V   "},
</v>
      </c>
    </row>
    <row r="135" spans="1:56" x14ac:dyDescent="0.25">
      <c r="B135" s="1" t="s">
        <v>49</v>
      </c>
      <c r="C135" s="1">
        <v>5</v>
      </c>
      <c r="D135" s="1" t="s">
        <v>5</v>
      </c>
      <c r="G135" s="1" t="s">
        <v>49</v>
      </c>
      <c r="K135" s="1">
        <v>1</v>
      </c>
      <c r="L135" s="1">
        <v>2</v>
      </c>
      <c r="M135" s="1" t="s">
        <v>5</v>
      </c>
      <c r="O135" s="1" t="s">
        <v>49</v>
      </c>
      <c r="AL135" t="s">
        <v>44</v>
      </c>
      <c r="AM135" s="1" t="str">
        <f t="shared" si="46"/>
        <v xml:space="preserve"> </v>
      </c>
      <c r="AN135" s="1" t="str">
        <f t="shared" si="46"/>
        <v xml:space="preserve"> </v>
      </c>
      <c r="AO135" s="1">
        <f t="shared" si="46"/>
        <v>5</v>
      </c>
      <c r="AP135" s="1" t="str">
        <f t="shared" si="46"/>
        <v>V</v>
      </c>
      <c r="AQ135" s="1" t="str">
        <f t="shared" si="46"/>
        <v xml:space="preserve"> </v>
      </c>
      <c r="AR135" s="1" t="str">
        <f t="shared" si="46"/>
        <v xml:space="preserve"> </v>
      </c>
      <c r="AS135" s="1" t="str">
        <f t="shared" si="46"/>
        <v xml:space="preserve"> </v>
      </c>
      <c r="AT135" s="1" t="str">
        <f t="shared" si="46"/>
        <v xml:space="preserve"> </v>
      </c>
      <c r="AU135" s="1" t="str">
        <f t="shared" si="46"/>
        <v xml:space="preserve"> </v>
      </c>
      <c r="AV135" s="1" t="str">
        <f t="shared" si="46"/>
        <v xml:space="preserve"> </v>
      </c>
      <c r="AW135" s="1">
        <f t="shared" si="46"/>
        <v>1</v>
      </c>
      <c r="AX135" s="1">
        <f t="shared" si="46"/>
        <v>2</v>
      </c>
      <c r="AY135" s="1" t="str">
        <f t="shared" si="46"/>
        <v>V</v>
      </c>
      <c r="AZ135" s="1" t="str">
        <f t="shared" si="46"/>
        <v xml:space="preserve"> </v>
      </c>
      <c r="BA135" s="1" t="str">
        <f t="shared" si="46"/>
        <v xml:space="preserve"> </v>
      </c>
      <c r="BB135" s="1" t="str">
        <f t="shared" si="46"/>
        <v xml:space="preserve"> </v>
      </c>
      <c r="BC135" t="s">
        <v>45</v>
      </c>
    </row>
  </sheetData>
  <phoneticPr fontId="2" type="noConversion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acnz</dc:creator>
  <cp:lastModifiedBy>Andre</cp:lastModifiedBy>
  <dcterms:created xsi:type="dcterms:W3CDTF">2023-01-08T14:51:26Z</dcterms:created>
  <dcterms:modified xsi:type="dcterms:W3CDTF">2023-03-15T13:09:55Z</dcterms:modified>
</cp:coreProperties>
</file>